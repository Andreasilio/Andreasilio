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webextensions/webextension1.xml" ContentType="application/vnd.ms-office.webextension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webextensions/webextension2.xml" ContentType="application/vnd.ms-office.webextension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Αυτό_το_βιβλίο_εργασίας" hidePivotFieldList="1"/>
  <mc:AlternateContent xmlns:mc="http://schemas.openxmlformats.org/markup-compatibility/2006">
    <mc:Choice Requires="x15">
      <x15ac:absPath xmlns:x15ac="http://schemas.microsoft.com/office/spreadsheetml/2010/11/ac" url="https://uniwagr-my.sharepoint.com/personal/pep20057_uniwa_gr/Documents/"/>
    </mc:Choice>
  </mc:AlternateContent>
  <xr:revisionPtr revIDLastSave="1013" documentId="11_B5C80745E82028CA32E31D728BFA9AA071CADC77" xr6:coauthVersionLast="47" xr6:coauthVersionMax="47" xr10:uidLastSave="{D8BFA129-9B8A-4047-A330-870196264F0D}"/>
  <bookViews>
    <workbookView xWindow="-120" yWindow="-120" windowWidth="29040" windowHeight="15840" activeTab="2" xr2:uid="{00000000-000D-0000-FFFF-FFFF00000000}"/>
  </bookViews>
  <sheets>
    <sheet name="Γράφημα1" sheetId="14" r:id="rId1"/>
    <sheet name="TABLE" sheetId="9" r:id="rId2"/>
    <sheet name="ΕΡΓΟ" sheetId="12" r:id="rId3"/>
    <sheet name="GANTT CHART" sheetId="8" state="hidden" r:id="rId4"/>
    <sheet name="GANTT TABLE" sheetId="1" state="hidden" r:id="rId5"/>
    <sheet name="TOTAL DURATION" sheetId="2" state="hidden" r:id="rId6"/>
    <sheet name="ΑΝΑΠΤΥΣΣΟΜΕΝΕΣ ΛΙΣΤΕΣ" sheetId="10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9" l="1"/>
  <c r="C4" i="9"/>
  <c r="E31" i="9" s="1"/>
  <c r="C3" i="9"/>
  <c r="C2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9" i="9"/>
  <c r="A17" i="9"/>
  <c r="E16" i="9"/>
  <c r="G1" i="9"/>
  <c r="F1" i="9"/>
  <c r="G11" i="9" s="1"/>
  <c r="G31" i="9" l="1"/>
  <c r="G16" i="9"/>
  <c r="AG7" i="9" l="1"/>
  <c r="D31" i="9" s="1"/>
  <c r="E30" i="9" l="1"/>
  <c r="G30" i="9" s="1"/>
  <c r="F31" i="9"/>
  <c r="A31" i="9"/>
  <c r="I31" i="9"/>
  <c r="K7" i="9"/>
  <c r="D9" i="9" s="1"/>
  <c r="A9" i="9" s="1"/>
  <c r="L7" i="9" l="1"/>
  <c r="D10" i="9" l="1"/>
  <c r="A10" i="9" s="1"/>
  <c r="E9" i="9"/>
  <c r="M7" i="9"/>
  <c r="E10" i="9" s="1"/>
  <c r="I9" i="9" l="1"/>
  <c r="G9" i="9"/>
  <c r="F9" i="9"/>
  <c r="D11" i="9"/>
  <c r="A11" i="9" s="1"/>
  <c r="I10" i="9"/>
  <c r="F10" i="9"/>
  <c r="G10" i="9"/>
  <c r="N7" i="9"/>
  <c r="D3" i="2"/>
  <c r="D4" i="2"/>
  <c r="D5" i="2"/>
  <c r="D6" i="2"/>
  <c r="D7" i="2"/>
  <c r="D8" i="2"/>
  <c r="D9" i="2"/>
  <c r="D10" i="2"/>
  <c r="D11" i="2"/>
  <c r="D12" i="2"/>
  <c r="D13" i="2"/>
  <c r="D14" i="2"/>
  <c r="C3" i="2"/>
  <c r="C4" i="2"/>
  <c r="C5" i="2"/>
  <c r="C6" i="2"/>
  <c r="C7" i="2"/>
  <c r="C8" i="2"/>
  <c r="C9" i="2"/>
  <c r="C10" i="2"/>
  <c r="C11" i="2"/>
  <c r="C12" i="2"/>
  <c r="C13" i="2"/>
  <c r="C14" i="2"/>
  <c r="D2" i="2"/>
  <c r="C2" i="2"/>
  <c r="F11" i="2"/>
  <c r="F12" i="2"/>
  <c r="F13" i="2"/>
  <c r="F14" i="2"/>
  <c r="F10" i="2"/>
  <c r="F4" i="2"/>
  <c r="F5" i="2"/>
  <c r="F6" i="2"/>
  <c r="F7" i="2"/>
  <c r="F8" i="2"/>
  <c r="F9" i="2"/>
  <c r="F3" i="2"/>
  <c r="B4" i="2"/>
  <c r="B5" i="2"/>
  <c r="B6" i="2"/>
  <c r="B7" i="2"/>
  <c r="B8" i="2"/>
  <c r="B9" i="2"/>
  <c r="B10" i="2"/>
  <c r="B11" i="2"/>
  <c r="B12" i="2"/>
  <c r="B13" i="2"/>
  <c r="B14" i="2"/>
  <c r="B3" i="2"/>
  <c r="B2" i="2"/>
  <c r="E5" i="2"/>
  <c r="E6" i="2"/>
  <c r="E7" i="2"/>
  <c r="E8" i="2"/>
  <c r="E9" i="2"/>
  <c r="E10" i="2"/>
  <c r="E11" i="2"/>
  <c r="E12" i="2"/>
  <c r="E13" i="2"/>
  <c r="E14" i="2"/>
  <c r="E4" i="2"/>
  <c r="E3" i="2"/>
  <c r="O7" i="9" l="1"/>
  <c r="E11" i="9"/>
  <c r="K6" i="9"/>
  <c r="D12" i="9" l="1"/>
  <c r="A12" i="9" s="1"/>
  <c r="I11" i="9"/>
  <c r="F11" i="9"/>
  <c r="P7" i="9"/>
  <c r="D13" i="9"/>
  <c r="K5" i="9"/>
  <c r="E12" i="9" l="1"/>
  <c r="A13" i="9"/>
  <c r="D14" i="9"/>
  <c r="Q7" i="9"/>
  <c r="O6" i="9"/>
  <c r="A14" i="9" l="1"/>
  <c r="R7" i="9"/>
  <c r="D15" i="9"/>
  <c r="I12" i="9"/>
  <c r="G12" i="9"/>
  <c r="F12" i="9"/>
  <c r="I13" i="9" l="1"/>
  <c r="F13" i="9"/>
  <c r="G13" i="9"/>
  <c r="A15" i="9"/>
  <c r="E14" i="9"/>
  <c r="S7" i="9"/>
  <c r="T7" i="9" s="1"/>
  <c r="D16" i="9"/>
  <c r="F16" i="9" l="1"/>
  <c r="I16" i="9"/>
  <c r="A16" i="9"/>
  <c r="E15" i="9"/>
  <c r="U7" i="9"/>
  <c r="D18" i="9"/>
  <c r="S6" i="9"/>
  <c r="I14" i="9"/>
  <c r="F14" i="9"/>
  <c r="G14" i="9"/>
  <c r="I15" i="9" l="1"/>
  <c r="F15" i="9"/>
  <c r="G15" i="9"/>
  <c r="A18" i="9"/>
  <c r="E17" i="9"/>
  <c r="V7" i="9"/>
  <c r="D19" i="9"/>
  <c r="E18" i="9" l="1"/>
  <c r="A19" i="9"/>
  <c r="W7" i="9"/>
  <c r="D20" i="9"/>
  <c r="I17" i="9"/>
  <c r="F17" i="9"/>
  <c r="G17" i="9"/>
  <c r="E19" i="9" l="1"/>
  <c r="A20" i="9"/>
  <c r="X7" i="9"/>
  <c r="D21" i="9"/>
  <c r="I18" i="9"/>
  <c r="G18" i="9"/>
  <c r="F18" i="9"/>
  <c r="E20" i="9" l="1"/>
  <c r="A21" i="9"/>
  <c r="Y7" i="9"/>
  <c r="D22" i="9"/>
  <c r="W6" i="9"/>
  <c r="I19" i="9"/>
  <c r="G19" i="9"/>
  <c r="F19" i="9"/>
  <c r="A22" i="9" l="1"/>
  <c r="E21" i="9"/>
  <c r="Z7" i="9"/>
  <c r="D23" i="9"/>
  <c r="I20" i="9"/>
  <c r="F20" i="9"/>
  <c r="G20" i="9"/>
  <c r="F21" i="9" l="1"/>
  <c r="I21" i="9"/>
  <c r="G21" i="9"/>
  <c r="E22" i="9"/>
  <c r="A23" i="9"/>
  <c r="AA7" i="9"/>
  <c r="D24" i="9"/>
  <c r="I22" i="9" l="1"/>
  <c r="F22" i="9"/>
  <c r="G22" i="9"/>
  <c r="E23" i="9"/>
  <c r="A24" i="9"/>
  <c r="AB7" i="9"/>
  <c r="D25" i="9"/>
  <c r="AC7" i="9" l="1"/>
  <c r="D26" i="9"/>
  <c r="AA6" i="9"/>
  <c r="I23" i="9"/>
  <c r="F23" i="9"/>
  <c r="G23" i="9"/>
  <c r="E24" i="9"/>
  <c r="A25" i="9"/>
  <c r="I24" i="9" l="1"/>
  <c r="F24" i="9"/>
  <c r="G24" i="9"/>
  <c r="A26" i="9"/>
  <c r="E25" i="9"/>
  <c r="AD7" i="9"/>
  <c r="D27" i="9"/>
  <c r="E26" i="9" l="1"/>
  <c r="A27" i="9"/>
  <c r="AE7" i="9"/>
  <c r="D28" i="9"/>
  <c r="F25" i="9"/>
  <c r="I25" i="9"/>
  <c r="G25" i="9"/>
  <c r="E27" i="9" l="1"/>
  <c r="A28" i="9"/>
  <c r="AF7" i="9"/>
  <c r="D29" i="9"/>
  <c r="I26" i="9"/>
  <c r="G26" i="9"/>
  <c r="F26" i="9"/>
  <c r="E28" i="9" l="1"/>
  <c r="A29" i="9"/>
  <c r="D30" i="9"/>
  <c r="AE6" i="9"/>
  <c r="I27" i="9"/>
  <c r="G27" i="9"/>
  <c r="F27" i="9"/>
  <c r="I30" i="9" l="1"/>
  <c r="A30" i="9"/>
  <c r="E29" i="9"/>
  <c r="F30" i="9"/>
  <c r="I28" i="9"/>
  <c r="G28" i="9"/>
  <c r="F28" i="9"/>
  <c r="I29" i="9" l="1"/>
  <c r="F29" i="9"/>
  <c r="G29" i="9"/>
</calcChain>
</file>

<file path=xl/sharedStrings.xml><?xml version="1.0" encoding="utf-8"?>
<sst xmlns="http://schemas.openxmlformats.org/spreadsheetml/2006/main" count="43" uniqueCount="41">
  <si>
    <t>Δραστηριότητα</t>
  </si>
  <si>
    <t>Κατάσταση</t>
  </si>
  <si>
    <t>Ονομασία Έργου</t>
  </si>
  <si>
    <t>Ανάθεση σε</t>
  </si>
  <si>
    <t>Ημερομηνία Έναρξης Έργου</t>
  </si>
  <si>
    <t>Ημερομηνία Λήξης Έργου</t>
  </si>
  <si>
    <t xml:space="preserve">ΕΡΓΟ: </t>
  </si>
  <si>
    <t>ΣΥΝΤΑΞΗ ΕΡΕΥΝΗΤΙΚΟΥ PROJECT</t>
  </si>
  <si>
    <t>ΕΡΝΑΡΞΗ ΕΡΓΑΣΙΩΝ</t>
  </si>
  <si>
    <t>ΛΗΞΗ ΕΡΓΑΣΙΩΝ</t>
  </si>
  <si>
    <t>ΟΝΟΜΑ ΕΠΙΜΕΡΟΥΣ ΕΡΓΑΣΙΑΣ</t>
  </si>
  <si>
    <t>μελέτη σημειώσεων σεμιναρίου</t>
  </si>
  <si>
    <t>αναζήτηση βιβλιογραφίας</t>
  </si>
  <si>
    <t xml:space="preserve">Εισαγωγή + ΒΑΣΙΚΕΣ ΕΝΝΟΙΕΣ </t>
  </si>
  <si>
    <t>ΘΕΩΡΗΤΙΚΟΙ ΣΤΟΧΟΙ + ΑΝΑΣΚΟΠΗΣΗ ΒΙΒΛΙΟΓΡΑΦΙΑΣ</t>
  </si>
  <si>
    <t>ΜΕΘΟΔΟΛΟΓΙΑ ΕΡΕΥΝΑΣ</t>
  </si>
  <si>
    <t>ΕΡΕΥΝΗΤΙΚΑ ΕΡΩΤΗΜΑΤΑ</t>
  </si>
  <si>
    <t>ΕΡΕΥΝΗΤΙΚΕΣ ΥΠΟΘΕΣΕΙΣ/ΠΡΟΤΑΣΕΙΣ</t>
  </si>
  <si>
    <t xml:space="preserve">ΣΥΛΛΟΓΗ ΔΕΔΟΜΕΝΩΝ ΜΕΣΩ ΔΕΥΤΕΡΟΓΕΝΩΝ ΠΗΓΩΝ </t>
  </si>
  <si>
    <t>ΑΝΑΖΗΤΗΣΗ ΚΑΤΑΓΕΓΡΑΜΜΕΝΩΝ ΣΥΖΗΤΗΣΕΩΝ ΕΠΙ ΤΩΝ ΠΙΘΑΝΩΝ ΑΠΟΤΕΛΕΣΜΑΤΩΝ</t>
  </si>
  <si>
    <t>ΚΑΤΑΓΡΑΦΗ ΒΙΒΛΙΟΓΡΑΦΙΑΣ ΜΕ ΤΗ ΜΟΡΦΗ HARVARD</t>
  </si>
  <si>
    <t>ΠΕΡΙΛΗΨΗ</t>
  </si>
  <si>
    <t>ΤΕΛΙΚΗ ΑΝΑΣΚΟΠΗΣΗ ΤΟΥ PROJECT ΠΡΙΝ ΤΗΝ ΤΕΛΙΚΗ ΥΠΟΒΟΛΗ ΤΟΥ</t>
  </si>
  <si>
    <t xml:space="preserve">ΗΜΕΡΑ ΕΝΑΡΞΗΣ ΕΡΓΑΣΙΩΝ </t>
  </si>
  <si>
    <t>ΔΙΑΡΚΕΙΑ ΕΡΓΑΣΙΩΝ</t>
  </si>
  <si>
    <t xml:space="preserve">  </t>
  </si>
  <si>
    <t>Δεν Ξεκίνησε</t>
  </si>
  <si>
    <t>Σε Εξέλιξη</t>
  </si>
  <si>
    <t>Στάσιμη</t>
  </si>
  <si>
    <t>Ολοκληρώθηκε</t>
  </si>
  <si>
    <t>Ονομασία Έργου:</t>
  </si>
  <si>
    <t>Ημέρα Έναρξης Έργου:</t>
  </si>
  <si>
    <t>Ημέρα Λήξης Έργου:</t>
  </si>
  <si>
    <t>Ημέρες/Δραστηριότητα:</t>
  </si>
  <si>
    <t>#</t>
  </si>
  <si>
    <t>Ανατίθεται σε</t>
  </si>
  <si>
    <t>Έναρξη</t>
  </si>
  <si>
    <t>Λήξη</t>
  </si>
  <si>
    <t>Ημέρες Διάρκειας</t>
  </si>
  <si>
    <t>ΥΠΟΛΟΙΠΟ ΗΜΕΡΩΝ</t>
  </si>
  <si>
    <t>Ολοκλήρωση Δραστηριότητας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</si>
</sst>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"/>
    <numFmt numFmtId="165" formatCode="yyyy"/>
    <numFmt numFmtId="166" formatCode="h:mm;@"/>
    <numFmt numFmtId="167" formatCode="[$-F800]dddd\,\ mmmm\ dd\,\ yyyy"/>
  </numFmts>
  <fonts count="12" x14ac:knownFonts="1">
    <font>
      <sz val="11"/>
      <color theme="1"/>
      <name val="Arial"/>
      <family val="2"/>
      <charset val="161"/>
    </font>
    <font>
      <b/>
      <sz val="11"/>
      <color theme="1"/>
      <name val="Arial"/>
      <family val="2"/>
      <charset val="161"/>
    </font>
    <font>
      <u/>
      <sz val="11"/>
      <color theme="10"/>
      <name val="Arial"/>
      <family val="2"/>
      <charset val="161"/>
    </font>
    <font>
      <b/>
      <sz val="9"/>
      <color rgb="FF000000"/>
      <name val="Segoe UI"/>
      <family val="2"/>
      <charset val="161"/>
    </font>
    <font>
      <sz val="11"/>
      <color theme="1"/>
      <name val="Arial"/>
      <family val="2"/>
      <charset val="161"/>
    </font>
    <font>
      <sz val="11"/>
      <color theme="0"/>
      <name val="Arial"/>
      <family val="2"/>
      <charset val="161"/>
    </font>
    <font>
      <b/>
      <sz val="11"/>
      <color theme="0" tint="-0.499984740745262"/>
      <name val="Arial"/>
      <family val="2"/>
      <charset val="161"/>
    </font>
    <font>
      <sz val="11"/>
      <color theme="1"/>
      <name val="Wingdings"/>
      <charset val="2"/>
    </font>
    <font>
      <sz val="11"/>
      <color theme="0" tint="-0.34998626667073579"/>
      <name val="Arial"/>
      <family val="2"/>
      <charset val="161"/>
    </font>
    <font>
      <u/>
      <sz val="11"/>
      <color theme="1"/>
      <name val="Arial"/>
      <family val="2"/>
      <charset val="161"/>
    </font>
    <font>
      <sz val="8"/>
      <name val="Arial"/>
      <family val="2"/>
      <charset val="161"/>
    </font>
    <font>
      <sz val="11"/>
      <color theme="1"/>
      <name val="Agency FB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/>
      <bottom style="medium">
        <color theme="0" tint="-0.14993743705557422"/>
      </bottom>
      <diagonal/>
    </border>
    <border>
      <left/>
      <right/>
      <top/>
      <bottom style="thick">
        <color theme="0" tint="-0.14996795556505021"/>
      </bottom>
      <diagonal/>
    </border>
    <border>
      <left/>
      <right style="medium">
        <color theme="0" tint="-0.1498764000366222"/>
      </right>
      <top/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0691854609822"/>
      </top>
      <bottom style="medium">
        <color theme="0" tint="-0.14990691854609822"/>
      </bottom>
      <diagonal/>
    </border>
    <border>
      <left/>
      <right/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 style="thin">
        <color indexed="64"/>
      </left>
      <right style="thin">
        <color indexed="64"/>
      </right>
      <top style="medium">
        <color theme="0" tint="-0.14990691854609822"/>
      </top>
      <bottom style="medium">
        <color theme="0" tint="-0.14990691854609822"/>
      </bottom>
      <diagonal/>
    </border>
    <border>
      <left style="thin">
        <color indexed="64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0691854609822"/>
      </left>
      <right style="thin">
        <color indexed="64"/>
      </right>
      <top style="medium">
        <color theme="0" tint="-0.14990691854609822"/>
      </top>
      <bottom/>
      <diagonal/>
    </border>
    <border>
      <left style="thin">
        <color indexed="64"/>
      </left>
      <right style="thin">
        <color indexed="64"/>
      </right>
      <top style="medium">
        <color theme="0" tint="-0.14990691854609822"/>
      </top>
      <bottom/>
      <diagonal/>
    </border>
    <border>
      <left/>
      <right style="medium">
        <color theme="0" tint="-0.14993743705557422"/>
      </right>
      <top/>
      <bottom/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 style="medium">
        <color theme="0" tint="-0.1498764000366222"/>
      </left>
      <right/>
      <top/>
      <bottom style="medium">
        <color theme="0" tint="-0.14993743705557422"/>
      </bottom>
      <diagonal/>
    </border>
    <border>
      <left/>
      <right/>
      <top/>
      <bottom style="medium">
        <color theme="0" tint="-0.14990691854609822"/>
      </bottom>
      <diagonal/>
    </border>
    <border>
      <left/>
      <right style="medium">
        <color theme="0" tint="-0.14993743705557422"/>
      </right>
      <top/>
      <bottom style="medium">
        <color theme="0" tint="-0.14990691854609822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8764000366222"/>
      </left>
      <right style="medium">
        <color theme="0" tint="-0.14993743705557422"/>
      </right>
      <top style="medium">
        <color theme="0" tint="-0.1498764000366222"/>
      </top>
      <bottom/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8764000366222"/>
      </top>
      <bottom/>
      <diagonal/>
    </border>
    <border>
      <left style="medium">
        <color theme="0" tint="-0.14993743705557422"/>
      </left>
      <right style="medium">
        <color theme="0" tint="-0.1498764000366222"/>
      </right>
      <top style="medium">
        <color theme="0" tint="-0.14987640003662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/>
      <diagonal/>
    </border>
    <border>
      <left/>
      <right style="medium">
        <color theme="0" tint="-0.14990691854609822"/>
      </right>
      <top/>
      <bottom/>
      <diagonal/>
    </border>
    <border>
      <left style="medium">
        <color theme="0" tint="-0.14990691854609822"/>
      </left>
      <right style="medium">
        <color theme="0" tint="-0.14990691854609822"/>
      </right>
      <top/>
      <bottom/>
      <diagonal/>
    </border>
    <border>
      <left style="medium">
        <color theme="0" tint="-0.1498764000366222"/>
      </left>
      <right style="medium">
        <color theme="0" tint="-0.14990691854609822"/>
      </right>
      <top style="medium">
        <color theme="0" tint="-0.14990691854609822"/>
      </top>
      <bottom/>
      <diagonal/>
    </border>
    <border>
      <left style="medium">
        <color theme="0" tint="-0.14993743705557422"/>
      </left>
      <right style="medium">
        <color theme="0" tint="-0.14990691854609822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90691854609822"/>
      </top>
      <bottom style="medium">
        <color theme="0" tint="-0.14993743705557422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/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0691854609822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4">
    <xf numFmtId="0" fontId="0" fillId="0" borderId="0" xfId="0"/>
    <xf numFmtId="0" fontId="0" fillId="0" borderId="3" xfId="0" applyBorder="1" applyAlignment="1">
      <alignment wrapText="1"/>
    </xf>
    <xf numFmtId="0" fontId="0" fillId="0" borderId="0" xfId="0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wrapText="1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1" fillId="0" borderId="11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0" fillId="0" borderId="15" xfId="0" applyBorder="1" applyAlignment="1">
      <alignment wrapText="1"/>
    </xf>
    <xf numFmtId="0" fontId="0" fillId="0" borderId="6" xfId="0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3" fontId="1" fillId="0" borderId="10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 wrapText="1"/>
    </xf>
    <xf numFmtId="14" fontId="0" fillId="0" borderId="0" xfId="0" applyNumberFormat="1"/>
    <xf numFmtId="0" fontId="3" fillId="0" borderId="0" xfId="0" applyFont="1"/>
    <xf numFmtId="0" fontId="2" fillId="0" borderId="0" xfId="1" applyAlignment="1">
      <alignment horizontal="left" vertical="center" wrapText="1"/>
    </xf>
    <xf numFmtId="0" fontId="2" fillId="0" borderId="0" xfId="1"/>
    <xf numFmtId="18" fontId="0" fillId="0" borderId="0" xfId="0" applyNumberFormat="1"/>
    <xf numFmtId="0" fontId="0" fillId="2" borderId="0" xfId="0" applyFill="1"/>
    <xf numFmtId="0" fontId="0" fillId="4" borderId="0" xfId="0" applyFill="1"/>
    <xf numFmtId="3" fontId="4" fillId="0" borderId="18" xfId="0" applyNumberFormat="1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center"/>
    </xf>
    <xf numFmtId="0" fontId="0" fillId="0" borderId="23" xfId="0" applyBorder="1"/>
    <xf numFmtId="0" fontId="0" fillId="0" borderId="22" xfId="0" applyBorder="1"/>
    <xf numFmtId="2" fontId="0" fillId="0" borderId="0" xfId="0" applyNumberFormat="1"/>
    <xf numFmtId="0" fontId="0" fillId="0" borderId="0" xfId="0" applyAlignment="1">
      <alignment horizontal="left"/>
    </xf>
    <xf numFmtId="16" fontId="0" fillId="0" borderId="0" xfId="0" applyNumberFormat="1" applyAlignment="1">
      <alignment horizontal="right" vertical="center" textRotation="90"/>
    </xf>
    <xf numFmtId="3" fontId="4" fillId="0" borderId="24" xfId="0" applyNumberFormat="1" applyFont="1" applyBorder="1" applyAlignment="1">
      <alignment horizontal="center" vertical="center"/>
    </xf>
    <xf numFmtId="0" fontId="5" fillId="3" borderId="19" xfId="0" applyFont="1" applyFill="1" applyBorder="1" applyAlignment="1">
      <alignment horizontal="center"/>
    </xf>
    <xf numFmtId="0" fontId="0" fillId="0" borderId="33" xfId="0" applyBorder="1"/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5" xfId="0" applyFont="1" applyBorder="1" applyAlignment="1">
      <alignment horizontal="center" wrapText="1"/>
    </xf>
    <xf numFmtId="16" fontId="0" fillId="0" borderId="43" xfId="0" applyNumberFormat="1" applyBorder="1" applyAlignment="1">
      <alignment textRotation="90"/>
    </xf>
    <xf numFmtId="0" fontId="7" fillId="0" borderId="44" xfId="0" applyFont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16" fontId="0" fillId="0" borderId="42" xfId="0" applyNumberFormat="1" applyBorder="1" applyAlignment="1">
      <alignment vertical="center" textRotation="90"/>
    </xf>
    <xf numFmtId="16" fontId="0" fillId="0" borderId="39" xfId="0" applyNumberFormat="1" applyBorder="1" applyAlignment="1">
      <alignment vertical="center" textRotation="90"/>
    </xf>
    <xf numFmtId="0" fontId="1" fillId="0" borderId="45" xfId="0" applyFont="1" applyBorder="1" applyAlignment="1">
      <alignment horizontal="center" wrapText="1"/>
    </xf>
    <xf numFmtId="0" fontId="0" fillId="0" borderId="18" xfId="0" applyBorder="1" applyAlignment="1">
      <alignment horizontal="center"/>
    </xf>
    <xf numFmtId="14" fontId="0" fillId="0" borderId="19" xfId="0" applyNumberFormat="1" applyBorder="1" applyAlignment="1">
      <alignment horizontal="center"/>
    </xf>
    <xf numFmtId="14" fontId="0" fillId="0" borderId="17" xfId="0" applyNumberFormat="1" applyBorder="1" applyAlignment="1">
      <alignment horizontal="center"/>
    </xf>
    <xf numFmtId="14" fontId="0" fillId="0" borderId="19" xfId="0" applyNumberFormat="1" applyBorder="1" applyAlignment="1">
      <alignment horizontal="right"/>
    </xf>
    <xf numFmtId="14" fontId="0" fillId="0" borderId="17" xfId="0" applyNumberFormat="1" applyBorder="1" applyAlignment="1">
      <alignment horizontal="right"/>
    </xf>
    <xf numFmtId="0" fontId="0" fillId="0" borderId="32" xfId="0" applyBorder="1" applyAlignment="1">
      <alignment horizontal="center"/>
    </xf>
    <xf numFmtId="0" fontId="0" fillId="0" borderId="23" xfId="0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3" fontId="4" fillId="0" borderId="0" xfId="0" applyNumberFormat="1" applyFont="1" applyAlignment="1">
      <alignment horizontal="center" vertical="center"/>
    </xf>
    <xf numFmtId="14" fontId="0" fillId="0" borderId="46" xfId="0" applyNumberFormat="1" applyBorder="1" applyAlignment="1">
      <alignment horizontal="center"/>
    </xf>
    <xf numFmtId="14" fontId="0" fillId="0" borderId="47" xfId="0" applyNumberFormat="1" applyBorder="1"/>
    <xf numFmtId="0" fontId="5" fillId="0" borderId="0" xfId="0" applyFont="1"/>
    <xf numFmtId="49" fontId="1" fillId="0" borderId="0" xfId="0" applyNumberFormat="1" applyFont="1" applyAlignment="1">
      <alignment horizontal="center"/>
    </xf>
    <xf numFmtId="14" fontId="5" fillId="0" borderId="0" xfId="0" applyNumberFormat="1" applyFont="1"/>
    <xf numFmtId="18" fontId="5" fillId="0" borderId="0" xfId="0" applyNumberFormat="1" applyFont="1"/>
    <xf numFmtId="167" fontId="5" fillId="0" borderId="0" xfId="0" applyNumberFormat="1" applyFont="1"/>
    <xf numFmtId="0" fontId="1" fillId="0" borderId="0" xfId="0" applyFont="1"/>
    <xf numFmtId="0" fontId="0" fillId="0" borderId="0" xfId="0" applyBorder="1"/>
    <xf numFmtId="14" fontId="11" fillId="0" borderId="0" xfId="0" applyNumberFormat="1" applyFont="1"/>
    <xf numFmtId="49" fontId="0" fillId="0" borderId="0" xfId="0" applyNumberFormat="1"/>
    <xf numFmtId="1" fontId="0" fillId="0" borderId="0" xfId="0" applyNumberFormat="1"/>
    <xf numFmtId="2" fontId="5" fillId="5" borderId="0" xfId="0" applyNumberFormat="1" applyFont="1" applyFill="1" applyAlignment="1">
      <alignment horizontal="center"/>
    </xf>
    <xf numFmtId="2" fontId="0" fillId="0" borderId="0" xfId="0" applyNumberFormat="1" applyAlignment="1">
      <alignment horizontal="right" vertical="center"/>
    </xf>
    <xf numFmtId="1" fontId="0" fillId="0" borderId="0" xfId="0" applyNumberFormat="1" applyBorder="1"/>
    <xf numFmtId="2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5" borderId="20" xfId="0" applyFill="1" applyBorder="1" applyAlignment="1">
      <alignment horizontal="left"/>
    </xf>
    <xf numFmtId="0" fontId="0" fillId="5" borderId="0" xfId="0" applyFill="1" applyAlignment="1">
      <alignment horizontal="right"/>
    </xf>
    <xf numFmtId="14" fontId="9" fillId="5" borderId="0" xfId="0" applyNumberFormat="1" applyFont="1" applyFill="1" applyAlignment="1">
      <alignment horizontal="left"/>
    </xf>
    <xf numFmtId="0" fontId="0" fillId="5" borderId="0" xfId="0" applyFill="1"/>
    <xf numFmtId="2" fontId="0" fillId="5" borderId="0" xfId="0" applyNumberFormat="1" applyFill="1"/>
    <xf numFmtId="0" fontId="0" fillId="5" borderId="0" xfId="0" applyFill="1" applyAlignment="1">
      <alignment horizontal="left"/>
    </xf>
    <xf numFmtId="3" fontId="4" fillId="0" borderId="48" xfId="0" applyNumberFormat="1" applyFont="1" applyBorder="1" applyAlignment="1">
      <alignment horizontal="center" vertical="center"/>
    </xf>
    <xf numFmtId="0" fontId="1" fillId="0" borderId="49" xfId="0" applyFont="1" applyBorder="1" applyAlignment="1">
      <alignment horizontal="center" wrapText="1"/>
    </xf>
    <xf numFmtId="9" fontId="0" fillId="0" borderId="32" xfId="2" applyFont="1" applyBorder="1" applyAlignment="1">
      <alignment horizontal="center"/>
    </xf>
    <xf numFmtId="9" fontId="0" fillId="0" borderId="23" xfId="2" applyFont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21" xfId="0" applyFill="1" applyBorder="1" applyAlignment="1">
      <alignment horizontal="center" wrapText="1"/>
    </xf>
    <xf numFmtId="0" fontId="6" fillId="5" borderId="20" xfId="0" applyFont="1" applyFill="1" applyBorder="1" applyAlignment="1">
      <alignment horizontal="left"/>
    </xf>
    <xf numFmtId="2" fontId="0" fillId="0" borderId="0" xfId="0" applyNumberFormat="1" applyAlignment="1">
      <alignment horizontal="right" vertical="center"/>
    </xf>
    <xf numFmtId="164" fontId="0" fillId="0" borderId="36" xfId="0" applyNumberFormat="1" applyBorder="1" applyAlignment="1">
      <alignment horizontal="center"/>
    </xf>
    <xf numFmtId="164" fontId="0" fillId="0" borderId="37" xfId="0" applyNumberFormat="1" applyBorder="1" applyAlignment="1">
      <alignment horizontal="center"/>
    </xf>
    <xf numFmtId="164" fontId="0" fillId="0" borderId="38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165" fontId="0" fillId="0" borderId="28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7" fontId="8" fillId="0" borderId="0" xfId="0" applyNumberFormat="1" applyFont="1" applyAlignment="1">
      <alignment horizontal="center" vertical="center" wrapText="1"/>
    </xf>
    <xf numFmtId="166" fontId="8" fillId="0" borderId="0" xfId="0" applyNumberFormat="1" applyFont="1" applyAlignment="1">
      <alignment horizontal="center" vertical="center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</cellXfs>
  <cellStyles count="3">
    <cellStyle name="Κανονικό" xfId="0" builtinId="0"/>
    <cellStyle name="Ποσοστό" xfId="2" builtinId="5"/>
    <cellStyle name="Υπερ-σύνδεση" xfId="1" builtinId="8"/>
  </cellStyles>
  <dxfs count="0"/>
  <tableStyles count="0" defaultTableStyle="TableStyleMedium2" defaultPivotStyle="PivotStyleLight16"/>
  <colors>
    <mruColors>
      <color rgb="FF8ACCCC"/>
      <color rgb="FFCCFFFF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76878195103661"/>
          <c:y val="4.0443735382750361E-2"/>
          <c:w val="0.8121488472477526"/>
          <c:h val="0.9453125875605418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TABLE!$D$8</c:f>
              <c:strCache>
                <c:ptCount val="1"/>
                <c:pt idx="0">
                  <c:v>Έναρξη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2.0343172344098701E-2"/>
                  <c:y val="-2.469135802469135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7F-4AFC-9C24-89E94814FF99}"/>
                </c:ext>
              </c:extLst>
            </c:dLbl>
            <c:dLbl>
              <c:idx val="1"/>
              <c:layout>
                <c:manualLayout>
                  <c:x val="1.1973837494912067E-2"/>
                  <c:y val="-2.469135802469135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7F-4AFC-9C24-89E94814FF99}"/>
                </c:ext>
              </c:extLst>
            </c:dLbl>
            <c:dLbl>
              <c:idx val="2"/>
              <c:layout>
                <c:manualLayout>
                  <c:x val="-1.057435434802211E-2"/>
                  <c:y val="2.3474985712774185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7F-4AFC-9C24-89E94814FF99}"/>
                </c:ext>
              </c:extLst>
            </c:dLbl>
            <c:dLbl>
              <c:idx val="3"/>
              <c:layout>
                <c:manualLayout>
                  <c:x val="-2.6883729498149676E-2"/>
                  <c:y val="3.2910396348671014E-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7F-4AFC-9C24-89E94814F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TABLE!$B$9:$B$30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cat>
          <c:val>
            <c:numRef>
              <c:f>TABLE!$D$9:$D$30</c:f>
              <c:numCache>
                <c:formatCode>m/d/yyyy</c:formatCode>
                <c:ptCount val="22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44697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7F-4AFC-9C24-89E94814FF99}"/>
            </c:ext>
          </c:extLst>
        </c:ser>
        <c:ser>
          <c:idx val="1"/>
          <c:order val="1"/>
          <c:tx>
            <c:strRef>
              <c:f>TABLE!$F$8</c:f>
              <c:strCache>
                <c:ptCount val="1"/>
                <c:pt idx="0">
                  <c:v>Ημέρες Διάρκειας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TABLE!$B$9:$B$30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cat>
          <c:val>
            <c:numRef>
              <c:f>TABLE!$F$9:$F$30</c:f>
              <c:numCache>
                <c:formatCode>General</c:formatCode>
                <c:ptCount val="2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44669</c:v>
                </c:pt>
                <c:pt idx="8">
                  <c:v>-44661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-84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7F-4AFC-9C24-89E94814F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3995136"/>
        <c:axId val="134013312"/>
      </c:barChart>
      <c:catAx>
        <c:axId val="1339951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34013312"/>
        <c:crosses val="autoZero"/>
        <c:auto val="1"/>
        <c:lblAlgn val="ctr"/>
        <c:lblOffset val="100"/>
        <c:noMultiLvlLbl val="0"/>
      </c:catAx>
      <c:valAx>
        <c:axId val="134013312"/>
        <c:scaling>
          <c:orientation val="minMax"/>
          <c:min val="44664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3399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l-GR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76878195103661"/>
          <c:y val="4.0443735382750361E-2"/>
          <c:w val="0.8121488472477526"/>
          <c:h val="0.9453125875605418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TABLE!$D$8</c:f>
              <c:strCache>
                <c:ptCount val="1"/>
                <c:pt idx="0">
                  <c:v>Έναρξη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5.0696955563481375E-2"/>
                  <c:y val="-6.10019499196587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BD-4837-B213-2A62974B251F}"/>
                </c:ext>
              </c:extLst>
            </c:dLbl>
            <c:dLbl>
              <c:idx val="1"/>
              <c:layout>
                <c:manualLayout>
                  <c:x val="4.9836575306135514E-2"/>
                  <c:y val="2.03340595497458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BD-4837-B213-2A62974B251F}"/>
                </c:ext>
              </c:extLst>
            </c:dLbl>
            <c:dLbl>
              <c:idx val="2"/>
              <c:layout>
                <c:manualLayout>
                  <c:x val="3.9684673562146194E-2"/>
                  <c:y val="-6.10019499196587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BD-4837-B213-2A62974B251F}"/>
                </c:ext>
              </c:extLst>
            </c:dLbl>
            <c:dLbl>
              <c:idx val="3"/>
              <c:layout>
                <c:manualLayout>
                  <c:x val="2.9532771818156878E-2"/>
                  <c:y val="2.03342882793245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BD-4837-B213-2A62974B251F}"/>
                </c:ext>
              </c:extLst>
            </c:dLbl>
            <c:dLbl>
              <c:idx val="4"/>
              <c:layout>
                <c:manualLayout>
                  <c:x val="1.938105297813383E-2"/>
                  <c:y val="-1.452432824981844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BD-4837-B213-2A62974B251F}"/>
                </c:ext>
              </c:extLst>
            </c:dLbl>
            <c:dLbl>
              <c:idx val="5"/>
              <c:layout>
                <c:manualLayout>
                  <c:x val="9.2291512341445125E-3"/>
                  <c:y val="-8.7145969498910684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BD-4837-B213-2A62974B25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TABLE!$B$9:$B$30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cat>
          <c:val>
            <c:numRef>
              <c:f>TABLE!$D$9:$D$30</c:f>
              <c:numCache>
                <c:formatCode>m/d/yyyy</c:formatCode>
                <c:ptCount val="22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44697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F91-412D-8F76-0BFD875D3032}"/>
            </c:ext>
          </c:extLst>
        </c:ser>
        <c:ser>
          <c:idx val="1"/>
          <c:order val="1"/>
          <c:tx>
            <c:strRef>
              <c:f>TABLE!$F$8</c:f>
              <c:strCache>
                <c:ptCount val="1"/>
                <c:pt idx="0">
                  <c:v>Ημέρες Διάρκειας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TABLE!$B$9:$B$30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cat>
          <c:val>
            <c:numRef>
              <c:f>TABLE!$F$9:$F$30</c:f>
              <c:numCache>
                <c:formatCode>General</c:formatCode>
                <c:ptCount val="2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44669</c:v>
                </c:pt>
                <c:pt idx="8">
                  <c:v>-44661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-84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F91-412D-8F76-0BFD875D3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3995136"/>
        <c:axId val="134013312"/>
      </c:barChart>
      <c:catAx>
        <c:axId val="1339951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34013312"/>
        <c:crosses val="autoZero"/>
        <c:auto val="1"/>
        <c:lblAlgn val="ctr"/>
        <c:lblOffset val="100"/>
        <c:noMultiLvlLbl val="0"/>
      </c:catAx>
      <c:valAx>
        <c:axId val="134013312"/>
        <c:scaling>
          <c:orientation val="minMax"/>
          <c:min val="44664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3399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GANTT CHARTT</a:t>
            </a:r>
            <a:endParaRPr lang="el-G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>
        <c:manualLayout>
          <c:layoutTarget val="inner"/>
          <c:xMode val="edge"/>
          <c:yMode val="edge"/>
          <c:x val="0.45784020290207411"/>
          <c:y val="0.1130654682620926"/>
          <c:w val="0.5033484022450434"/>
          <c:h val="0.8639763588337776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'TOTAL DURATION'!$C$2</c:f>
              <c:strCache>
                <c:ptCount val="1"/>
                <c:pt idx="0">
                  <c:v>ΕΡΝΑΡΞΗ ΕΡΓΑΣΙΩΝ</c:v>
                </c:pt>
              </c:strCache>
            </c:strRef>
          </c:tx>
          <c:spPr>
            <a:noFill/>
            <a:ln w="9525" cap="flat" cmpd="sng" algn="ctr">
              <a:noFill/>
              <a:round/>
            </a:ln>
            <a:effectLst/>
          </c:spPr>
          <c:invertIfNegative val="1"/>
          <c:dLbls>
            <c:dLbl>
              <c:idx val="0"/>
              <c:layout>
                <c:manualLayout>
                  <c:x val="3.0799432580940891E-2"/>
                  <c:y val="-3.339370604237085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30-4268-920B-419BBD4CD50D}"/>
                </c:ext>
              </c:extLst>
            </c:dLbl>
            <c:dLbl>
              <c:idx val="1"/>
              <c:layout>
                <c:manualLayout>
                  <c:x val="8.8604684979568787E-3"/>
                  <c:y val="-2.0862849321254852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30-4268-920B-419BBD4CD50D}"/>
                </c:ext>
              </c:extLst>
            </c:dLbl>
            <c:dLbl>
              <c:idx val="10"/>
              <c:layout>
                <c:manualLayout>
                  <c:x val="0.20860162842262639"/>
                  <c:y val="-4.1740489161918234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30-4268-920B-419BBD4CD5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'TOTAL DURATION'!$B$3:$B$14</c:f>
              <c:strCache>
                <c:ptCount val="12"/>
                <c:pt idx="0">
                  <c:v>μελέτη σημειώσεων σεμιναρίου</c:v>
                </c:pt>
                <c:pt idx="1">
                  <c:v>αναζήτηση βιβλιογραφίας</c:v>
                </c:pt>
                <c:pt idx="2">
                  <c:v>Εισαγωγή + ΒΑΣΙΚΕΣ ΕΝΝΟΙΕΣ </c:v>
                </c:pt>
                <c:pt idx="3">
                  <c:v>ΘΕΩΡΗΤΙΚΟΙ ΣΤΟΧΟΙ + ΑΝΑΣΚΟΠΗΣΗ ΒΙΒΛΙΟΓΡΑΦΙΑΣ</c:v>
                </c:pt>
                <c:pt idx="4">
                  <c:v>ΜΕΘΟΔΟΛΟΓΙΑ ΕΡΕΥΝΑΣ</c:v>
                </c:pt>
                <c:pt idx="5">
                  <c:v>ΕΡΕΥΝΗΤΙΚΑ ΕΡΩΤΗΜΑΤΑ</c:v>
                </c:pt>
                <c:pt idx="6">
                  <c:v>ΕΡΕΥΝΗΤΙΚΕΣ ΥΠΟΘΕΣΕΙΣ/ΠΡΟΤΑΣΕΙΣ</c:v>
                </c:pt>
                <c:pt idx="7">
                  <c:v>ΣΥΛΛΟΓΗ ΔΕΔΟΜΕΝΩΝ ΜΕΣΩ ΔΕΥΤΕΡΟΓΕΝΩΝ ΠΗΓΩΝ </c:v>
                </c:pt>
                <c:pt idx="8">
                  <c:v>ΑΝΑΖΗΤΗΣΗ ΚΑΤΑΓΕΓΡΑΜΜΕΝΩΝ ΣΥΖΗΤΗΣΕΩΝ ΕΠΙ ΤΩΝ ΠΙΘΑΝΩΝ ΑΠΟΤΕΛΕΣΜΑΤΩΝ</c:v>
                </c:pt>
                <c:pt idx="9">
                  <c:v>ΚΑΤΑΓΡΑΦΗ ΒΙΒΛΙΟΓΡΑΦΙΑΣ ΜΕ ΤΗ ΜΟΡΦΗ HARVARD</c:v>
                </c:pt>
                <c:pt idx="10">
                  <c:v>ΠΕΡΙΛΗΨΗ</c:v>
                </c:pt>
                <c:pt idx="11">
                  <c:v>ΤΕΛΙΚΗ ΑΝΑΣΚΟΠΗΣΗ ΤΟΥ PROJECT ΠΡΙΝ ΤΗΝ ΤΕΛΙΚΗ ΥΠΟΒΟΛΗ ΤΟΥ</c:v>
                </c:pt>
              </c:strCache>
            </c:strRef>
          </c:cat>
          <c:val>
            <c:numRef>
              <c:f>'TOTAL DURATION'!$C$3:$C$14</c:f>
              <c:numCache>
                <c:formatCode>m/d/yyyy</c:formatCode>
                <c:ptCount val="12"/>
                <c:pt idx="0">
                  <c:v>44639</c:v>
                </c:pt>
                <c:pt idx="1">
                  <c:v>44646</c:v>
                </c:pt>
                <c:pt idx="2">
                  <c:v>44653</c:v>
                </c:pt>
                <c:pt idx="3">
                  <c:v>44660</c:v>
                </c:pt>
                <c:pt idx="4">
                  <c:v>44667</c:v>
                </c:pt>
                <c:pt idx="5">
                  <c:v>44674</c:v>
                </c:pt>
                <c:pt idx="6">
                  <c:v>44681</c:v>
                </c:pt>
                <c:pt idx="7">
                  <c:v>44688</c:v>
                </c:pt>
                <c:pt idx="8">
                  <c:v>44695</c:v>
                </c:pt>
                <c:pt idx="9">
                  <c:v>44702</c:v>
                </c:pt>
                <c:pt idx="10">
                  <c:v>44709</c:v>
                </c:pt>
                <c:pt idx="11">
                  <c:v>44710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30-4268-920B-419BBD4CD50D}"/>
            </c:ext>
          </c:extLst>
        </c:ser>
        <c:ser>
          <c:idx val="1"/>
          <c:order val="1"/>
          <c:tx>
            <c:strRef>
              <c:f>'TOTAL DURATION'!$F$2</c:f>
              <c:strCache>
                <c:ptCount val="1"/>
                <c:pt idx="0">
                  <c:v>ΔΙΑΡΚΕΙΑ ΕΡΓΑΣΙΩΝ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Lbl>
              <c:idx val="10"/>
              <c:layout>
                <c:manualLayout>
                  <c:x val="3.8352051520395343E-4"/>
                  <c:y val="-1.043388974719551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l-G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2240269234948306E-3"/>
                      <c:h val="2.71011617295638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730-4268-920B-419BBD4CD5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DURATION'!$B$3:$B$14</c:f>
              <c:strCache>
                <c:ptCount val="12"/>
                <c:pt idx="0">
                  <c:v>μελέτη σημειώσεων σεμιναρίου</c:v>
                </c:pt>
                <c:pt idx="1">
                  <c:v>αναζήτηση βιβλιογραφίας</c:v>
                </c:pt>
                <c:pt idx="2">
                  <c:v>Εισαγωγή + ΒΑΣΙΚΕΣ ΕΝΝΟΙΕΣ </c:v>
                </c:pt>
                <c:pt idx="3">
                  <c:v>ΘΕΩΡΗΤΙΚΟΙ ΣΤΟΧΟΙ + ΑΝΑΣΚΟΠΗΣΗ ΒΙΒΛΙΟΓΡΑΦΙΑΣ</c:v>
                </c:pt>
                <c:pt idx="4">
                  <c:v>ΜΕΘΟΔΟΛΟΓΙΑ ΕΡΕΥΝΑΣ</c:v>
                </c:pt>
                <c:pt idx="5">
                  <c:v>ΕΡΕΥΝΗΤΙΚΑ ΕΡΩΤΗΜΑΤΑ</c:v>
                </c:pt>
                <c:pt idx="6">
                  <c:v>ΕΡΕΥΝΗΤΙΚΕΣ ΥΠΟΘΕΣΕΙΣ/ΠΡΟΤΑΣΕΙΣ</c:v>
                </c:pt>
                <c:pt idx="7">
                  <c:v>ΣΥΛΛΟΓΗ ΔΕΔΟΜΕΝΩΝ ΜΕΣΩ ΔΕΥΤΕΡΟΓΕΝΩΝ ΠΗΓΩΝ </c:v>
                </c:pt>
                <c:pt idx="8">
                  <c:v>ΑΝΑΖΗΤΗΣΗ ΚΑΤΑΓΕΓΡΑΜΜΕΝΩΝ ΣΥΖΗΤΗΣΕΩΝ ΕΠΙ ΤΩΝ ΠΙΘΑΝΩΝ ΑΠΟΤΕΛΕΣΜΑΤΩΝ</c:v>
                </c:pt>
                <c:pt idx="9">
                  <c:v>ΚΑΤΑΓΡΑΦΗ ΒΙΒΛΙΟΓΡΑΦΙΑΣ ΜΕ ΤΗ ΜΟΡΦΗ HARVARD</c:v>
                </c:pt>
                <c:pt idx="10">
                  <c:v>ΠΕΡΙΛΗΨΗ</c:v>
                </c:pt>
                <c:pt idx="11">
                  <c:v>ΤΕΛΙΚΗ ΑΝΑΣΚΟΠΗΣΗ ΤΟΥ PROJECT ΠΡΙΝ ΤΗΝ ΤΕΛΙΚΗ ΥΠΟΒΟΛΗ ΤΟΥ</c:v>
                </c:pt>
              </c:strCache>
            </c:strRef>
          </c:cat>
          <c:val>
            <c:numRef>
              <c:f>'TOTAL DURATION'!$F$3:$F$14</c:f>
              <c:numCache>
                <c:formatCode>General</c:formatCode>
                <c:ptCount val="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30-4268-920B-419BBD4CD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9"/>
        <c:overlap val="100"/>
        <c:axId val="133995136"/>
        <c:axId val="134013312"/>
      </c:barChart>
      <c:catAx>
        <c:axId val="13399513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34013312"/>
        <c:crosses val="autoZero"/>
        <c:auto val="0"/>
        <c:lblAlgn val="ctr"/>
        <c:lblOffset val="100"/>
        <c:noMultiLvlLbl val="0"/>
      </c:catAx>
      <c:valAx>
        <c:axId val="134013312"/>
        <c:scaling>
          <c:orientation val="minMax"/>
          <c:max val="44711"/>
          <c:min val="44639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33995136"/>
        <c:crosses val="autoZero"/>
        <c:crossBetween val="between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bg1">
          <a:alpha val="93000"/>
        </a:schemeClr>
      </a:solidFill>
      <a:round/>
    </a:ln>
    <a:effectLst/>
  </c:spPr>
  <c:txPr>
    <a:bodyPr/>
    <a:lstStyle/>
    <a:p>
      <a:pPr>
        <a:defRPr/>
      </a:pPr>
      <a:endParaRPr lang="el-GR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CB48472-C0F0-4804-AC88-2C8D7F3D99F8}">
  <sheetPr/>
  <sheetViews>
    <sheetView zoomScale="12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Γράφημα2"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3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microsoft.com/office/2011/relationships/webextension" Target="../webextensions/webextension2.xml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6" Type="http://schemas.openxmlformats.org/officeDocument/2006/relationships/image" Target="../media/image7.jpeg"/><Relationship Id="rId11" Type="http://schemas.openxmlformats.org/officeDocument/2006/relationships/image" Target="../media/image12.sv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Γράφημα 1">
          <a:extLst>
            <a:ext uri="{FF2B5EF4-FFF2-40B4-BE49-F238E27FC236}">
              <a16:creationId xmlns:a16="http://schemas.microsoft.com/office/drawing/2014/main" id="{9FC4F2FF-2F1B-495D-904A-6B7D295C10A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0.8291</cdr:x>
      <cdr:y>0.70634</cdr:y>
    </cdr:from>
    <cdr:to>
      <cdr:x>0.85871</cdr:x>
      <cdr:y>0.72833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17B6EB0-1230-4129-B577-FC3BB11E51F8}"/>
            </a:ext>
          </a:extLst>
        </cdr:cNvPr>
        <cdr:cNvSpPr txBox="1"/>
      </cdr:nvSpPr>
      <cdr:spPr>
        <a:xfrm xmlns:a="http://schemas.openxmlformats.org/drawingml/2006/main">
          <a:off x="7714463" y="4298058"/>
          <a:ext cx="275516" cy="1338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l-GR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23812</xdr:colOff>
      <xdr:row>3</xdr:row>
      <xdr:rowOff>123825</xdr:rowOff>
    </xdr:from>
    <xdr:to>
      <xdr:col>36</xdr:col>
      <xdr:colOff>252412</xdr:colOff>
      <xdr:row>11</xdr:row>
      <xdr:rowOff>85725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Πρόσθετο 3" title="Mini Calendar and Date Picker">
              <a:extLst>
                <a:ext uri="{FF2B5EF4-FFF2-40B4-BE49-F238E27FC236}">
                  <a16:creationId xmlns:a16="http://schemas.microsoft.com/office/drawing/2014/main" id="{4B502084-24F9-4D8D-A68B-B51D958DB90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4" name="Πρόσθετο 3" title="Mini Calendar and Date Picker">
              <a:extLst>
                <a:ext uri="{FF2B5EF4-FFF2-40B4-BE49-F238E27FC236}">
                  <a16:creationId xmlns:a16="http://schemas.microsoft.com/office/drawing/2014/main" id="{4B502084-24F9-4D8D-A68B-B51D958DB90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9526</xdr:colOff>
      <xdr:row>8</xdr:row>
      <xdr:rowOff>0</xdr:rowOff>
    </xdr:from>
    <xdr:to>
      <xdr:col>33</xdr:col>
      <xdr:colOff>1</xdr:colOff>
      <xdr:row>30</xdr:row>
      <xdr:rowOff>180975</xdr:rowOff>
    </xdr:to>
    <xdr:graphicFrame macro="">
      <xdr:nvGraphicFramePr>
        <xdr:cNvPr id="2" name="Γράφημα 4">
          <a:extLst>
            <a:ext uri="{FF2B5EF4-FFF2-40B4-BE49-F238E27FC236}">
              <a16:creationId xmlns:a16="http://schemas.microsoft.com/office/drawing/2014/main" id="{2F6033F7-E15C-4F24-875E-1B029F8CA71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 fPrintsWithSheet="0"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0.8291</cdr:x>
      <cdr:y>0.70634</cdr:y>
    </cdr:from>
    <cdr:to>
      <cdr:x>0.85871</cdr:x>
      <cdr:y>0.72833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17B6EB0-1230-4129-B577-FC3BB11E51F8}"/>
            </a:ext>
          </a:extLst>
        </cdr:cNvPr>
        <cdr:cNvSpPr txBox="1"/>
      </cdr:nvSpPr>
      <cdr:spPr>
        <a:xfrm xmlns:a="http://schemas.openxmlformats.org/drawingml/2006/main">
          <a:off x="7714463" y="4298058"/>
          <a:ext cx="275516" cy="1338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l-GR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29</xdr:col>
      <xdr:colOff>400050</xdr:colOff>
      <xdr:row>81</xdr:row>
      <xdr:rowOff>126908</xdr:rowOff>
    </xdr:to>
    <xdr:pic>
      <xdr:nvPicPr>
        <xdr:cNvPr id="8" name="Εικόνα 7">
          <a:extLst>
            <a:ext uri="{FF2B5EF4-FFF2-40B4-BE49-F238E27FC236}">
              <a16:creationId xmlns:a16="http://schemas.microsoft.com/office/drawing/2014/main" id="{3E5D155C-C462-448F-A004-435848BCB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24117300" cy="14785883"/>
        </a:xfrm>
        <a:prstGeom prst="rect">
          <a:avLst/>
        </a:prstGeom>
      </xdr:spPr>
    </xdr:pic>
    <xdr:clientData/>
  </xdr:twoCellAnchor>
  <xdr:twoCellAnchor editAs="oneCell">
    <xdr:from>
      <xdr:col>0</xdr:col>
      <xdr:colOff>979954</xdr:colOff>
      <xdr:row>0</xdr:row>
      <xdr:rowOff>9525</xdr:rowOff>
    </xdr:from>
    <xdr:to>
      <xdr:col>4</xdr:col>
      <xdr:colOff>149038</xdr:colOff>
      <xdr:row>17</xdr:row>
      <xdr:rowOff>11514</xdr:rowOff>
    </xdr:to>
    <xdr:pic macro="[0]!Μακροεντολή14">
      <xdr:nvPicPr>
        <xdr:cNvPr id="5" name="Εικόνα 4">
          <a:extLst>
            <a:ext uri="{FF2B5EF4-FFF2-40B4-BE49-F238E27FC236}">
              <a16:creationId xmlns:a16="http://schemas.microsoft.com/office/drawing/2014/main" id="{350D35B1-EB68-483D-AF66-6BC46000E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954" y="9525"/>
          <a:ext cx="3236259" cy="3088089"/>
        </a:xfrm>
        <a:prstGeom prst="rect">
          <a:avLst/>
        </a:prstGeom>
      </xdr:spPr>
    </xdr:pic>
    <xdr:clientData/>
  </xdr:twoCellAnchor>
  <xdr:twoCellAnchor editAs="oneCell">
    <xdr:from>
      <xdr:col>6</xdr:col>
      <xdr:colOff>542926</xdr:colOff>
      <xdr:row>2</xdr:row>
      <xdr:rowOff>47626</xdr:rowOff>
    </xdr:from>
    <xdr:to>
      <xdr:col>7</xdr:col>
      <xdr:colOff>19051</xdr:colOff>
      <xdr:row>8</xdr:row>
      <xdr:rowOff>47626</xdr:rowOff>
    </xdr:to>
    <xdr:pic macro="[0]!Μακροεντολή4">
      <xdr:nvPicPr>
        <xdr:cNvPr id="44" name="Εικόνα 43">
          <a:extLst>
            <a:ext uri="{FF2B5EF4-FFF2-40B4-BE49-F238E27FC236}">
              <a16:creationId xmlns:a16="http://schemas.microsoft.com/office/drawing/2014/main" id="{773BC400-0D46-421A-9594-AE6EEDB14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1426" y="419101"/>
          <a:ext cx="1085850" cy="1085850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8</xdr:row>
      <xdr:rowOff>47625</xdr:rowOff>
    </xdr:from>
    <xdr:to>
      <xdr:col>8</xdr:col>
      <xdr:colOff>219075</xdr:colOff>
      <xdr:row>9</xdr:row>
      <xdr:rowOff>114300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8011B747-2157-4BD5-8F87-695577A28A8A}"/>
            </a:ext>
          </a:extLst>
        </xdr:cNvPr>
        <xdr:cNvSpPr txBox="1"/>
      </xdr:nvSpPr>
      <xdr:spPr>
        <a:xfrm>
          <a:off x="7162800" y="1504950"/>
          <a:ext cx="2400300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1100">
              <a:latin typeface="Amasis MT Pro Black" panose="020B0604020202020204" pitchFamily="18" charset="0"/>
            </a:rPr>
            <a:t>Ημερομηνία</a:t>
          </a:r>
          <a:r>
            <a:rPr lang="el-GR" sz="1100" baseline="0">
              <a:latin typeface="Amasis MT Pro Black" panose="020B0604020202020204" pitchFamily="18" charset="0"/>
            </a:rPr>
            <a:t> Έναρξης </a:t>
          </a:r>
          <a:r>
            <a:rPr lang="en-US" sz="1100" baseline="0">
              <a:latin typeface="Agency FB" panose="020B0503020202020204" pitchFamily="34" charset="0"/>
            </a:rPr>
            <a:t>Project</a:t>
          </a:r>
          <a:endParaRPr lang="el-GR" sz="1100">
            <a:latin typeface="Amasis MT Pro Black" panose="020B0604020202020204" pitchFamily="18" charset="0"/>
          </a:endParaRPr>
        </a:p>
      </xdr:txBody>
    </xdr:sp>
    <xdr:clientData/>
  </xdr:twoCellAnchor>
  <xdr:twoCellAnchor editAs="oneCell">
    <xdr:from>
      <xdr:col>3</xdr:col>
      <xdr:colOff>85725</xdr:colOff>
      <xdr:row>15</xdr:row>
      <xdr:rowOff>38101</xdr:rowOff>
    </xdr:from>
    <xdr:to>
      <xdr:col>4</xdr:col>
      <xdr:colOff>606425</xdr:colOff>
      <xdr:row>19</xdr:row>
      <xdr:rowOff>38101</xdr:rowOff>
    </xdr:to>
    <xdr:pic>
      <xdr:nvPicPr>
        <xdr:cNvPr id="61" name="Εικόνα 60">
          <a:extLst>
            <a:ext uri="{FF2B5EF4-FFF2-40B4-BE49-F238E27FC236}">
              <a16:creationId xmlns:a16="http://schemas.microsoft.com/office/drawing/2014/main" id="{01BA8A16-4385-4DA9-8F0B-C5BACFD7E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7100" y="2762251"/>
          <a:ext cx="1206500" cy="723900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695326</xdr:colOff>
      <xdr:row>9</xdr:row>
      <xdr:rowOff>114301</xdr:rowOff>
    </xdr:from>
    <xdr:to>
      <xdr:col>6</xdr:col>
      <xdr:colOff>1323976</xdr:colOff>
      <xdr:row>13</xdr:row>
      <xdr:rowOff>19051</xdr:rowOff>
    </xdr:to>
    <xdr:pic>
      <xdr:nvPicPr>
        <xdr:cNvPr id="7168" name="Εικόνα 7167">
          <a:extLst>
            <a:ext uri="{FF2B5EF4-FFF2-40B4-BE49-F238E27FC236}">
              <a16:creationId xmlns:a16="http://schemas.microsoft.com/office/drawing/2014/main" id="{42126D4F-0FDF-43A1-9D2F-D0786481A9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3826" y="1752601"/>
          <a:ext cx="628650" cy="628650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581024</xdr:colOff>
      <xdr:row>27</xdr:row>
      <xdr:rowOff>95250</xdr:rowOff>
    </xdr:from>
    <xdr:to>
      <xdr:col>6</xdr:col>
      <xdr:colOff>485774</xdr:colOff>
      <xdr:row>35</xdr:row>
      <xdr:rowOff>762</xdr:rowOff>
    </xdr:to>
    <xdr:pic>
      <xdr:nvPicPr>
        <xdr:cNvPr id="7183" name="Εικόνα 7182">
          <a:extLst>
            <a:ext uri="{FF2B5EF4-FFF2-40B4-BE49-F238E27FC236}">
              <a16:creationId xmlns:a16="http://schemas.microsoft.com/office/drawing/2014/main" id="{9900C301-6679-4FD1-9B8E-8B6FE058F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199" y="4991100"/>
          <a:ext cx="2886075" cy="1353312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0</xdr:row>
      <xdr:rowOff>76200</xdr:rowOff>
    </xdr:from>
    <xdr:to>
      <xdr:col>15</xdr:col>
      <xdr:colOff>123825</xdr:colOff>
      <xdr:row>4</xdr:row>
      <xdr:rowOff>126093</xdr:rowOff>
    </xdr:to>
    <xdr:pic macro="[0]!Μακροεντολή1">
      <xdr:nvPicPr>
        <xdr:cNvPr id="4" name="Εικόνα 3">
          <a:extLst>
            <a:ext uri="{FF2B5EF4-FFF2-40B4-BE49-F238E27FC236}">
              <a16:creationId xmlns:a16="http://schemas.microsoft.com/office/drawing/2014/main" id="{C2875124-48C0-401B-8424-4A317EB8F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4450" y="76200"/>
          <a:ext cx="1495425" cy="783318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13</xdr:col>
      <xdr:colOff>28575</xdr:colOff>
      <xdr:row>0</xdr:row>
      <xdr:rowOff>28576</xdr:rowOff>
    </xdr:from>
    <xdr:to>
      <xdr:col>15</xdr:col>
      <xdr:colOff>200025</xdr:colOff>
      <xdr:row>2</xdr:row>
      <xdr:rowOff>19051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4AF04DE-ECF0-48F2-B6E1-206CC2C221F7}"/>
            </a:ext>
          </a:extLst>
        </xdr:cNvPr>
        <xdr:cNvSpPr txBox="1"/>
      </xdr:nvSpPr>
      <xdr:spPr>
        <a:xfrm>
          <a:off x="12773025" y="28576"/>
          <a:ext cx="154305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Baguet Script" panose="020B0604020202020204" pitchFamily="2" charset="0"/>
            </a:rPr>
            <a:t>Clear Project's contents</a:t>
          </a:r>
          <a:endParaRPr lang="el-GR" sz="1100"/>
        </a:p>
      </xdr:txBody>
    </xdr:sp>
    <xdr:clientData/>
  </xdr:twoCellAnchor>
  <xdr:twoCellAnchor editAs="oneCell">
    <xdr:from>
      <xdr:col>6</xdr:col>
      <xdr:colOff>657225</xdr:colOff>
      <xdr:row>18</xdr:row>
      <xdr:rowOff>95250</xdr:rowOff>
    </xdr:from>
    <xdr:to>
      <xdr:col>8</xdr:col>
      <xdr:colOff>114300</xdr:colOff>
      <xdr:row>26</xdr:row>
      <xdr:rowOff>59824</xdr:rowOff>
    </xdr:to>
    <xdr:pic macro="[0]!Μακροεντολή28">
      <xdr:nvPicPr>
        <xdr:cNvPr id="10" name="Εικόνα 9">
          <a:extLst>
            <a:ext uri="{FF2B5EF4-FFF2-40B4-BE49-F238E27FC236}">
              <a16:creationId xmlns:a16="http://schemas.microsoft.com/office/drawing/2014/main" id="{7D48C36E-49E5-4E3C-944B-74F9B1B40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3362325"/>
          <a:ext cx="1724025" cy="1412374"/>
        </a:xfrm>
        <a:prstGeom prst="rect">
          <a:avLst/>
        </a:prstGeom>
      </xdr:spPr>
    </xdr:pic>
    <xdr:clientData/>
  </xdr:twoCellAnchor>
  <xdr:twoCellAnchor editAs="oneCell">
    <xdr:from>
      <xdr:col>7</xdr:col>
      <xdr:colOff>361950</xdr:colOff>
      <xdr:row>23</xdr:row>
      <xdr:rowOff>142875</xdr:rowOff>
    </xdr:from>
    <xdr:to>
      <xdr:col>8</xdr:col>
      <xdr:colOff>628650</xdr:colOff>
      <xdr:row>27</xdr:row>
      <xdr:rowOff>102680</xdr:rowOff>
    </xdr:to>
    <xdr:pic>
      <xdr:nvPicPr>
        <xdr:cNvPr id="7181" name="Εικόνα 7180">
          <a:extLst>
            <a:ext uri="{FF2B5EF4-FFF2-40B4-BE49-F238E27FC236}">
              <a16:creationId xmlns:a16="http://schemas.microsoft.com/office/drawing/2014/main" id="{CAA04066-76EC-458C-90D9-44220D3D7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4314825"/>
          <a:ext cx="923925" cy="683705"/>
        </a:xfrm>
        <a:prstGeom prst="rect">
          <a:avLst/>
        </a:prstGeom>
      </xdr:spPr>
    </xdr:pic>
    <xdr:clientData/>
  </xdr:twoCellAnchor>
  <xdr:twoCellAnchor editAs="oneCell">
    <xdr:from>
      <xdr:col>12</xdr:col>
      <xdr:colOff>495299</xdr:colOff>
      <xdr:row>27</xdr:row>
      <xdr:rowOff>161925</xdr:rowOff>
    </xdr:from>
    <xdr:to>
      <xdr:col>14</xdr:col>
      <xdr:colOff>276224</xdr:colOff>
      <xdr:row>32</xdr:row>
      <xdr:rowOff>171450</xdr:rowOff>
    </xdr:to>
    <xdr:pic macro="[0]!Μακροεντολή3">
      <xdr:nvPicPr>
        <xdr:cNvPr id="3" name="Γραφικό 2" descr="Απόκτηση με συμπαγές γέμισμα">
          <a:extLst>
            <a:ext uri="{FF2B5EF4-FFF2-40B4-BE49-F238E27FC236}">
              <a16:creationId xmlns:a16="http://schemas.microsoft.com/office/drawing/2014/main" id="{E0A5413A-4215-4BEA-BF59-37CFB83F3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553949" y="5057775"/>
          <a:ext cx="1152525" cy="914400"/>
        </a:xfrm>
        <a:prstGeom prst="rect">
          <a:avLst/>
        </a:prstGeom>
      </xdr:spPr>
    </xdr:pic>
    <xdr:clientData/>
  </xdr:twoCellAnchor>
  <xdr:twoCellAnchor>
    <xdr:from>
      <xdr:col>13</xdr:col>
      <xdr:colOff>457200</xdr:colOff>
      <xdr:row>30</xdr:row>
      <xdr:rowOff>114300</xdr:rowOff>
    </xdr:from>
    <xdr:to>
      <xdr:col>17</xdr:col>
      <xdr:colOff>638176</xdr:colOff>
      <xdr:row>33</xdr:row>
      <xdr:rowOff>28575</xdr:rowOff>
    </xdr:to>
    <xdr:sp macro="[0]!Μακροεντολή3" textlink="">
      <xdr:nvSpPr>
        <xdr:cNvPr id="7" name="TextBox 6">
          <a:extLst>
            <a:ext uri="{FF2B5EF4-FFF2-40B4-BE49-F238E27FC236}">
              <a16:creationId xmlns:a16="http://schemas.microsoft.com/office/drawing/2014/main" id="{86106F63-6AC1-4E5A-8A19-06B01F9AD9D4}"/>
            </a:ext>
          </a:extLst>
        </xdr:cNvPr>
        <xdr:cNvSpPr txBox="1"/>
      </xdr:nvSpPr>
      <xdr:spPr>
        <a:xfrm>
          <a:off x="13201650" y="5553075"/>
          <a:ext cx="2924176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l-GR" sz="1400">
              <a:ln>
                <a:solidFill>
                  <a:schemeClr val="lt1">
                    <a:shade val="50000"/>
                  </a:schemeClr>
                </a:solidFill>
              </a:ln>
              <a:latin typeface="Amasis MT Pro Black" panose="02040A04050005020304" pitchFamily="18" charset="0"/>
            </a:rPr>
            <a:t>ΜΕΤΑΒΑΣΗ</a:t>
          </a:r>
          <a:r>
            <a:rPr lang="el-GR" sz="1400" baseline="0">
              <a:ln>
                <a:solidFill>
                  <a:schemeClr val="lt1">
                    <a:shade val="50000"/>
                  </a:schemeClr>
                </a:solidFill>
              </a:ln>
              <a:latin typeface="Amasis MT Pro Black" panose="02040A04050005020304" pitchFamily="18" charset="0"/>
            </a:rPr>
            <a:t> ΣΤΟ</a:t>
          </a:r>
          <a:r>
            <a:rPr lang="en-US" sz="1400" baseline="0">
              <a:ln>
                <a:solidFill>
                  <a:schemeClr val="lt1">
                    <a:shade val="50000"/>
                  </a:schemeClr>
                </a:solidFill>
              </a:ln>
              <a:latin typeface="Amasis MT Pro Black" panose="02040A04050005020304" pitchFamily="18" charset="0"/>
            </a:rPr>
            <a:t> PROJECT </a:t>
          </a:r>
          <a:r>
            <a:rPr lang="el-GR" sz="1400" baseline="0">
              <a:ln>
                <a:solidFill>
                  <a:schemeClr val="lt1">
                    <a:shade val="50000"/>
                  </a:schemeClr>
                </a:solidFill>
              </a:ln>
              <a:latin typeface="Amasis MT Pro Medium" panose="020B0604020202020204" pitchFamily="18" charset="0"/>
            </a:rPr>
            <a:t>ΜΟΥ</a:t>
          </a:r>
          <a:endParaRPr lang="el-GR" sz="1400">
            <a:ln>
              <a:solidFill>
                <a:schemeClr val="lt1">
                  <a:shade val="50000"/>
                </a:schemeClr>
              </a:solidFill>
            </a:ln>
            <a:latin typeface="Amasis MT Pro Medium" panose="020B0604020202020204" pitchFamily="18" charset="0"/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19</xdr:col>
      <xdr:colOff>228600</xdr:colOff>
      <xdr:row>18</xdr:row>
      <xdr:rowOff>104775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7" name="Πρόσθετο 16" title="Mini Calendar and Date Picker">
              <a:extLst>
                <a:ext uri="{FF2B5EF4-FFF2-40B4-BE49-F238E27FC236}">
                  <a16:creationId xmlns:a16="http://schemas.microsoft.com/office/drawing/2014/main" id="{92627A96-10C7-4812-A374-77C0254FB41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2"/>
            </a:graphicData>
          </a:graphic>
        </xdr:graphicFrame>
      </mc:Choice>
      <mc:Fallback>
        <xdr:pic>
          <xdr:nvPicPr>
            <xdr:cNvPr id="17" name="Πρόσθετο 16" title="Mini Calendar and Date Picker">
              <a:extLst>
                <a:ext uri="{FF2B5EF4-FFF2-40B4-BE49-F238E27FC236}">
                  <a16:creationId xmlns:a16="http://schemas.microsoft.com/office/drawing/2014/main" id="{92627A96-10C7-4812-A374-77C0254FB411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Γράφημα 1">
          <a:extLst>
            <a:ext uri="{FF2B5EF4-FFF2-40B4-BE49-F238E27FC236}">
              <a16:creationId xmlns:a16="http://schemas.microsoft.com/office/drawing/2014/main" id="{3F073164-8718-493E-BCC8-C10B5D9BE9D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0.8291</cdr:x>
      <cdr:y>0.70634</cdr:y>
    </cdr:from>
    <cdr:to>
      <cdr:x>0.85871</cdr:x>
      <cdr:y>0.72833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17B6EB0-1230-4129-B577-FC3BB11E51F8}"/>
            </a:ext>
          </a:extLst>
        </cdr:cNvPr>
        <cdr:cNvSpPr txBox="1"/>
      </cdr:nvSpPr>
      <cdr:spPr>
        <a:xfrm xmlns:a="http://schemas.openxmlformats.org/drawingml/2006/main">
          <a:off x="7714463" y="4298058"/>
          <a:ext cx="275516" cy="1338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l-GR" sz="1100"/>
        </a:p>
      </cdr:txBody>
    </cdr:sp>
  </cdr:relSizeAnchor>
  <cdr:relSizeAnchor xmlns:cdr="http://schemas.openxmlformats.org/drawingml/2006/chartDrawing">
    <cdr:from>
      <cdr:x>0.94657</cdr:x>
      <cdr:y>0.92367</cdr:y>
    </cdr:from>
    <cdr:to>
      <cdr:x>0.97872</cdr:x>
      <cdr:y>0.97542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C83AED2A-E20B-444C-820E-E9D3FFE59AB2}"/>
            </a:ext>
          </a:extLst>
        </cdr:cNvPr>
        <cdr:cNvSpPr txBox="1"/>
      </cdr:nvSpPr>
      <cdr:spPr>
        <a:xfrm xmlns:a="http://schemas.openxmlformats.org/drawingml/2006/main">
          <a:off x="8800292" y="5609637"/>
          <a:ext cx="298900" cy="314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solidFill>
                <a:schemeClr val="bg1"/>
              </a:solidFill>
            </a:rPr>
            <a:t>2</a:t>
          </a:r>
          <a:endParaRPr lang="el-GR" sz="900">
            <a:solidFill>
              <a:schemeClr val="bg1"/>
            </a:solidFill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972344</xdr:colOff>
      <xdr:row>1</xdr:row>
      <xdr:rowOff>138904</xdr:rowOff>
    </xdr:from>
    <xdr:to>
      <xdr:col>8</xdr:col>
      <xdr:colOff>154782</xdr:colOff>
      <xdr:row>11</xdr:row>
      <xdr:rowOff>11904</xdr:rowOff>
    </xdr:to>
    <xdr:pic>
      <xdr:nvPicPr>
        <xdr:cNvPr id="2" name="Πρόσθετο 1">
          <a:extLst>
            <a:ext uri="{FF2B5EF4-FFF2-40B4-BE49-F238E27FC236}">
              <a16:creationId xmlns:a16="http://schemas.microsoft.com/office/drawing/2014/main" id="{ECF051E7-3EF8-47C6-AD5C-7D9E9BA68318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webextensions/webextension1.xml><?xml version="1.0" encoding="utf-8"?>
<we:webextension xmlns:we="http://schemas.microsoft.com/office/webextensions/webextension/2010/11" id="{4B502084-24F9-4D8D-A68B-B51D958DB906}">
  <we:reference id="wa102957665" version="1.3.0.0" store="el-GR" storeType="OMEX"/>
  <we:alternateReferences>
    <we:reference id="wa102957665" version="1.3.0.0" store="wa102957665" storeType="OMEX"/>
  </we:alternateReferences>
  <we:properties>
    <we:property name="opt_month" value="&quot;2022-04-01&quot;"/>
  </we:properties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92627A96-10C7-4812-A374-77C0254FB411}">
  <we:reference id="wa102957665" version="1.3.0.0" store="el-GR" storeType="OMEX"/>
  <we:alternateReferences>
    <we:reference id="wa102957665" version="1.3.0.0" store="wa102957665" storeType="OMEX"/>
  </we:alternateReferences>
  <we:properties/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Φύλλο1"/>
  <dimension ref="A1:AP33"/>
  <sheetViews>
    <sheetView showGridLines="0" workbookViewId="0">
      <selection activeCell="H3" sqref="H3"/>
    </sheetView>
  </sheetViews>
  <sheetFormatPr defaultRowHeight="14.25" x14ac:dyDescent="0.2"/>
  <cols>
    <col min="1" max="1" width="2.875" bestFit="1" customWidth="1"/>
    <col min="2" max="2" width="20.5" bestFit="1" customWidth="1"/>
    <col min="3" max="3" width="22.5" bestFit="1" customWidth="1"/>
    <col min="4" max="4" width="11.875" customWidth="1"/>
    <col min="5" max="5" width="9.875" bestFit="1" customWidth="1"/>
    <col min="6" max="6" width="24.625" bestFit="1" customWidth="1"/>
    <col min="7" max="7" width="14.5" customWidth="1"/>
    <col min="8" max="8" width="12.125" customWidth="1"/>
    <col min="9" max="9" width="15.625" customWidth="1"/>
    <col min="10" max="10" width="2.625" customWidth="1"/>
    <col min="11" max="33" width="3.125" bestFit="1" customWidth="1"/>
    <col min="42" max="42" width="6.75" bestFit="1" customWidth="1"/>
  </cols>
  <sheetData>
    <row r="1" spans="1:42" x14ac:dyDescent="0.2">
      <c r="F1" s="110">
        <f ca="1">TODAY()</f>
        <v>44665</v>
      </c>
      <c r="G1" s="111">
        <f ca="1">NOW()</f>
        <v>44665.321663425922</v>
      </c>
    </row>
    <row r="2" spans="1:42" ht="15.75" thickBot="1" x14ac:dyDescent="0.3">
      <c r="B2" s="87" t="s">
        <v>30</v>
      </c>
      <c r="C2" s="99">
        <f>ΕΡΓΟ!A2</f>
        <v>0</v>
      </c>
      <c r="D2" s="99"/>
      <c r="E2" s="99"/>
      <c r="F2" s="110"/>
      <c r="G2" s="111"/>
      <c r="AH2" s="32"/>
    </row>
    <row r="3" spans="1:42" ht="20.25" customHeight="1" thickTop="1" x14ac:dyDescent="0.2">
      <c r="B3" s="88" t="s">
        <v>31</v>
      </c>
      <c r="C3" s="89">
        <f>ΕΡΓΟ!$F$2</f>
        <v>0</v>
      </c>
      <c r="D3" s="90"/>
      <c r="E3" s="90"/>
      <c r="F3" s="82"/>
    </row>
    <row r="4" spans="1:42" ht="15" thickBot="1" x14ac:dyDescent="0.25">
      <c r="B4" s="88" t="s">
        <v>32</v>
      </c>
      <c r="C4" s="89">
        <f>ΕΡΓΟ!$G$2</f>
        <v>0</v>
      </c>
      <c r="D4" s="91"/>
      <c r="E4" s="90"/>
      <c r="G4" s="32"/>
      <c r="AH4" s="32"/>
      <c r="AI4" s="32"/>
      <c r="AJ4" s="32"/>
      <c r="AK4" s="32"/>
      <c r="AL4" s="32"/>
      <c r="AM4" s="32"/>
      <c r="AN4" s="32"/>
      <c r="AO4" s="32"/>
      <c r="AP4" s="32"/>
    </row>
    <row r="5" spans="1:42" ht="15" thickBot="1" x14ac:dyDescent="0.25">
      <c r="B5" s="88" t="s">
        <v>33</v>
      </c>
      <c r="C5" s="92">
        <v>4</v>
      </c>
      <c r="D5" s="90"/>
      <c r="E5" s="90"/>
      <c r="K5" s="104">
        <f>L7</f>
        <v>4</v>
      </c>
      <c r="L5" s="105"/>
      <c r="M5" s="105"/>
      <c r="N5" s="105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7"/>
      <c r="AH5" s="32"/>
      <c r="AI5" s="32"/>
      <c r="AJ5" s="32"/>
      <c r="AK5" s="32"/>
      <c r="AL5" s="32"/>
      <c r="AM5" s="32"/>
      <c r="AN5" s="32"/>
      <c r="AO5" s="32"/>
      <c r="AP5" s="32"/>
    </row>
    <row r="6" spans="1:42" ht="15" thickBot="1" x14ac:dyDescent="0.25">
      <c r="B6" s="14"/>
      <c r="C6" s="46"/>
      <c r="D6" s="86"/>
      <c r="E6" s="84"/>
      <c r="G6" s="80"/>
      <c r="H6" s="100"/>
      <c r="I6" s="83"/>
      <c r="J6" s="41"/>
      <c r="K6" s="101">
        <f>L7</f>
        <v>4</v>
      </c>
      <c r="L6" s="102"/>
      <c r="M6" s="102"/>
      <c r="N6" s="103"/>
      <c r="O6" s="108">
        <f>P7</f>
        <v>20</v>
      </c>
      <c r="P6" s="109"/>
      <c r="Q6" s="109"/>
      <c r="R6" s="109"/>
      <c r="S6" s="109">
        <f>T7</f>
        <v>36</v>
      </c>
      <c r="T6" s="109"/>
      <c r="U6" s="109"/>
      <c r="V6" s="109"/>
      <c r="W6" s="109">
        <f>X7</f>
        <v>52</v>
      </c>
      <c r="X6" s="109"/>
      <c r="Y6" s="109"/>
      <c r="Z6" s="109"/>
      <c r="AA6" s="109">
        <f>AB7</f>
        <v>68</v>
      </c>
      <c r="AB6" s="109"/>
      <c r="AC6" s="109"/>
      <c r="AD6" s="109"/>
      <c r="AE6" s="109">
        <f>AF7</f>
        <v>84</v>
      </c>
      <c r="AF6" s="109"/>
      <c r="AG6" s="109"/>
    </row>
    <row r="7" spans="1:42" ht="46.5" customHeight="1" thickBot="1" x14ac:dyDescent="0.25">
      <c r="D7" s="85"/>
      <c r="E7" s="84"/>
      <c r="F7" s="45"/>
      <c r="G7" s="81"/>
      <c r="H7" s="100"/>
      <c r="I7" s="83"/>
      <c r="J7" s="47"/>
      <c r="K7" s="58">
        <f>C3</f>
        <v>0</v>
      </c>
      <c r="L7" s="59">
        <f t="shared" ref="L7:AF7" si="0">IF(K7&lt;&gt;"",K7+$C$5,"-")</f>
        <v>4</v>
      </c>
      <c r="M7" s="59">
        <f t="shared" si="0"/>
        <v>8</v>
      </c>
      <c r="N7" s="59">
        <f t="shared" si="0"/>
        <v>12</v>
      </c>
      <c r="O7" s="59">
        <f t="shared" si="0"/>
        <v>16</v>
      </c>
      <c r="P7" s="59">
        <f t="shared" si="0"/>
        <v>20</v>
      </c>
      <c r="Q7" s="59">
        <f t="shared" si="0"/>
        <v>24</v>
      </c>
      <c r="R7" s="59">
        <f t="shared" si="0"/>
        <v>28</v>
      </c>
      <c r="S7" s="59">
        <f t="shared" si="0"/>
        <v>32</v>
      </c>
      <c r="T7" s="59">
        <f t="shared" si="0"/>
        <v>36</v>
      </c>
      <c r="U7" s="59">
        <f t="shared" si="0"/>
        <v>40</v>
      </c>
      <c r="V7" s="59">
        <f t="shared" si="0"/>
        <v>44</v>
      </c>
      <c r="W7" s="59">
        <f t="shared" si="0"/>
        <v>48</v>
      </c>
      <c r="X7" s="59">
        <f t="shared" si="0"/>
        <v>52</v>
      </c>
      <c r="Y7" s="59">
        <f t="shared" si="0"/>
        <v>56</v>
      </c>
      <c r="Z7" s="59">
        <f t="shared" si="0"/>
        <v>60</v>
      </c>
      <c r="AA7" s="59">
        <f t="shared" si="0"/>
        <v>64</v>
      </c>
      <c r="AB7" s="59">
        <f t="shared" si="0"/>
        <v>68</v>
      </c>
      <c r="AC7" s="59">
        <f t="shared" si="0"/>
        <v>72</v>
      </c>
      <c r="AD7" s="59">
        <f t="shared" si="0"/>
        <v>76</v>
      </c>
      <c r="AE7" s="59">
        <f t="shared" si="0"/>
        <v>80</v>
      </c>
      <c r="AF7" s="59">
        <f t="shared" si="0"/>
        <v>84</v>
      </c>
      <c r="AG7" s="59">
        <f>C4</f>
        <v>0</v>
      </c>
    </row>
    <row r="8" spans="1:42" ht="31.5" customHeight="1" thickBot="1" x14ac:dyDescent="0.3">
      <c r="A8" s="51" t="s">
        <v>34</v>
      </c>
      <c r="B8" s="68" t="s">
        <v>0</v>
      </c>
      <c r="C8" s="52" t="s">
        <v>35</v>
      </c>
      <c r="D8" s="52" t="s">
        <v>36</v>
      </c>
      <c r="E8" s="52" t="s">
        <v>37</v>
      </c>
      <c r="F8" s="53" t="s">
        <v>38</v>
      </c>
      <c r="G8" s="60" t="s">
        <v>39</v>
      </c>
      <c r="H8" s="52" t="s">
        <v>1</v>
      </c>
      <c r="I8" s="94" t="s">
        <v>40</v>
      </c>
      <c r="J8" s="54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</row>
    <row r="9" spans="1:42" ht="29.25" thickBot="1" x14ac:dyDescent="0.25">
      <c r="A9" s="48">
        <f>IF(D9&lt;&gt;"",ROWS($A$1:A1),"-")</f>
        <v>1</v>
      </c>
      <c r="B9" s="98">
        <f>ΕΡΓΟ!C2</f>
        <v>0</v>
      </c>
      <c r="C9" s="97">
        <f>ΕΡΓΟ!B2</f>
        <v>0</v>
      </c>
      <c r="D9" s="62">
        <f>K7</f>
        <v>0</v>
      </c>
      <c r="E9" s="64">
        <f>L7</f>
        <v>4</v>
      </c>
      <c r="F9" s="49">
        <f>E9-D9</f>
        <v>4</v>
      </c>
      <c r="G9" s="61">
        <f t="shared" ref="G9:G31" ca="1" si="1">E9-$F$1</f>
        <v>-44661</v>
      </c>
      <c r="H9" s="66"/>
      <c r="I9" s="95" t="e">
        <f>(E9-D9)/D9</f>
        <v>#DIV/0!</v>
      </c>
      <c r="J9" s="50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</row>
    <row r="10" spans="1:42" ht="15" thickBot="1" x14ac:dyDescent="0.25">
      <c r="A10" s="39">
        <f>IF(D10&lt;&gt;"",ROWS($A$1:A2),"-")</f>
        <v>2</v>
      </c>
      <c r="B10" s="98">
        <f>ΕΡΓΟ!C3</f>
        <v>0</v>
      </c>
      <c r="C10" s="97">
        <f>ΕΡΓΟ!B3</f>
        <v>0</v>
      </c>
      <c r="D10" s="63">
        <f>L7</f>
        <v>4</v>
      </c>
      <c r="E10" s="65">
        <f>M7</f>
        <v>8</v>
      </c>
      <c r="F10" s="49">
        <f t="shared" ref="F10:F31" si="2">E10-D10</f>
        <v>4</v>
      </c>
      <c r="G10" s="61">
        <f t="shared" ca="1" si="1"/>
        <v>-44657</v>
      </c>
      <c r="H10" s="67"/>
      <c r="I10" s="96">
        <f t="shared" ref="I10:I31" si="3">(E10-D10)/D10</f>
        <v>1</v>
      </c>
      <c r="J10" s="44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</row>
    <row r="11" spans="1:42" ht="15" thickBot="1" x14ac:dyDescent="0.25">
      <c r="A11" s="39">
        <f>IF(D11&lt;&gt;"",ROWS($A$1:A3),"-")</f>
        <v>3</v>
      </c>
      <c r="B11" s="98">
        <f>ΕΡΓΟ!C4</f>
        <v>0</v>
      </c>
      <c r="C11" s="97">
        <f>ΕΡΓΟ!B4</f>
        <v>0</v>
      </c>
      <c r="D11" s="63">
        <f>E10</f>
        <v>8</v>
      </c>
      <c r="E11" s="65">
        <f>N7</f>
        <v>12</v>
      </c>
      <c r="F11" s="49">
        <f t="shared" si="2"/>
        <v>4</v>
      </c>
      <c r="G11" s="61">
        <f ca="1">E11-$F$1</f>
        <v>-44653</v>
      </c>
      <c r="H11" s="67"/>
      <c r="I11" s="96">
        <f t="shared" si="3"/>
        <v>0.5</v>
      </c>
      <c r="J11" s="44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</row>
    <row r="12" spans="1:42" ht="15" thickBot="1" x14ac:dyDescent="0.25">
      <c r="A12" s="39">
        <f>IF(D12&lt;&gt;"",ROWS($A$1:A4),"-")</f>
        <v>4</v>
      </c>
      <c r="B12" s="98">
        <f>ΕΡΓΟ!C5</f>
        <v>0</v>
      </c>
      <c r="C12" s="97">
        <f>ΕΡΓΟ!B5</f>
        <v>0</v>
      </c>
      <c r="D12" s="63">
        <f>E11</f>
        <v>12</v>
      </c>
      <c r="E12" s="65">
        <f t="shared" ref="E12:E30" si="4">D13</f>
        <v>16</v>
      </c>
      <c r="F12" s="49">
        <f t="shared" si="2"/>
        <v>4</v>
      </c>
      <c r="G12" s="61">
        <f t="shared" ca="1" si="1"/>
        <v>-44649</v>
      </c>
      <c r="H12" s="67"/>
      <c r="I12" s="96">
        <f t="shared" si="3"/>
        <v>0.33333333333333331</v>
      </c>
      <c r="J12" s="44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</row>
    <row r="13" spans="1:42" ht="15" thickBot="1" x14ac:dyDescent="0.25">
      <c r="A13" s="39">
        <f>IF(D13&lt;&gt;"",ROWS($A$1:A6),"-")</f>
        <v>6</v>
      </c>
      <c r="B13" s="98">
        <f>ΕΡΓΟ!C6</f>
        <v>0</v>
      </c>
      <c r="C13" s="97">
        <f>ΕΡΓΟ!B6</f>
        <v>0</v>
      </c>
      <c r="D13" s="63">
        <f>O7</f>
        <v>16</v>
      </c>
      <c r="E13" s="65">
        <f>D14</f>
        <v>20</v>
      </c>
      <c r="F13" s="49">
        <f t="shared" si="2"/>
        <v>4</v>
      </c>
      <c r="G13" s="61">
        <f t="shared" ca="1" si="1"/>
        <v>-44645</v>
      </c>
      <c r="H13" s="67"/>
      <c r="I13" s="96">
        <f t="shared" si="3"/>
        <v>0.25</v>
      </c>
      <c r="J13" s="44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J13" s="32"/>
    </row>
    <row r="14" spans="1:42" ht="15" thickBot="1" x14ac:dyDescent="0.25">
      <c r="A14" s="39">
        <f>IF(D14&lt;&gt;"",ROWS($A$1:A7),"-")</f>
        <v>7</v>
      </c>
      <c r="B14" s="98">
        <f>ΕΡΓΟ!C7</f>
        <v>0</v>
      </c>
      <c r="C14" s="97">
        <f>ΕΡΓΟ!B7</f>
        <v>0</v>
      </c>
      <c r="D14" s="63">
        <f>P7</f>
        <v>20</v>
      </c>
      <c r="E14" s="65">
        <f t="shared" si="4"/>
        <v>24</v>
      </c>
      <c r="F14" s="49">
        <f t="shared" si="2"/>
        <v>4</v>
      </c>
      <c r="G14" s="61">
        <f t="shared" ca="1" si="1"/>
        <v>-44641</v>
      </c>
      <c r="H14" s="67"/>
      <c r="I14" s="96">
        <f t="shared" si="3"/>
        <v>0.2</v>
      </c>
      <c r="J14" s="44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</row>
    <row r="15" spans="1:42" ht="15" thickBot="1" x14ac:dyDescent="0.25">
      <c r="A15" s="39">
        <f>IF(D15&lt;&gt;"",ROWS($A$1:A8),"-")</f>
        <v>8</v>
      </c>
      <c r="B15" s="98">
        <f>ΕΡΓΟ!C8</f>
        <v>0</v>
      </c>
      <c r="C15" s="97">
        <f>ΕΡΓΟ!B8</f>
        <v>0</v>
      </c>
      <c r="D15" s="63">
        <f>Q7</f>
        <v>24</v>
      </c>
      <c r="E15" s="65">
        <f t="shared" si="4"/>
        <v>28</v>
      </c>
      <c r="F15" s="49">
        <f t="shared" si="2"/>
        <v>4</v>
      </c>
      <c r="G15" s="61">
        <f t="shared" ca="1" si="1"/>
        <v>-44637</v>
      </c>
      <c r="H15" s="67"/>
      <c r="I15" s="96">
        <f t="shared" si="3"/>
        <v>0.16666666666666666</v>
      </c>
      <c r="J15" s="44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</row>
    <row r="16" spans="1:42" ht="15" thickBot="1" x14ac:dyDescent="0.25">
      <c r="A16" s="39">
        <f>IF(D16&lt;&gt;"",ROWS($A$1:A9),"-")</f>
        <v>9</v>
      </c>
      <c r="B16" s="98">
        <f>ΕΡΓΟ!C9</f>
        <v>0</v>
      </c>
      <c r="C16" s="97">
        <f>ΕΡΓΟ!B9</f>
        <v>0</v>
      </c>
      <c r="D16" s="63">
        <f>R7</f>
        <v>28</v>
      </c>
      <c r="E16" s="65">
        <f t="shared" si="4"/>
        <v>44697</v>
      </c>
      <c r="F16" s="49">
        <f t="shared" si="2"/>
        <v>44669</v>
      </c>
      <c r="G16" s="61">
        <f t="shared" ca="1" si="1"/>
        <v>32</v>
      </c>
      <c r="H16" s="67"/>
      <c r="I16" s="96">
        <f t="shared" si="3"/>
        <v>1595.3214285714287</v>
      </c>
      <c r="J16" s="4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I16" s="32"/>
    </row>
    <row r="17" spans="1:36" ht="15" thickBot="1" x14ac:dyDescent="0.25">
      <c r="A17" s="39">
        <f>IF(D17&lt;&gt;"",ROWS($A$1:A10),"-")</f>
        <v>10</v>
      </c>
      <c r="B17" s="98">
        <f>ΕΡΓΟ!C10</f>
        <v>0</v>
      </c>
      <c r="C17" s="97">
        <f>ΕΡΓΟ!B10</f>
        <v>0</v>
      </c>
      <c r="D17" s="63">
        <v>44697</v>
      </c>
      <c r="E17" s="65">
        <f t="shared" si="4"/>
        <v>36</v>
      </c>
      <c r="F17" s="49">
        <f t="shared" si="2"/>
        <v>-44661</v>
      </c>
      <c r="G17" s="61">
        <f t="shared" ca="1" si="1"/>
        <v>-44629</v>
      </c>
      <c r="H17" s="67"/>
      <c r="I17" s="96">
        <f t="shared" si="3"/>
        <v>-0.999194576817236</v>
      </c>
      <c r="J17" s="44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I17" s="32"/>
    </row>
    <row r="18" spans="1:36" ht="15" thickBot="1" x14ac:dyDescent="0.25">
      <c r="A18" s="39">
        <f>IF(D18&lt;&gt;"",ROWS($A$1:A11),"-")</f>
        <v>11</v>
      </c>
      <c r="B18" s="98">
        <f>ΕΡΓΟ!C11</f>
        <v>0</v>
      </c>
      <c r="C18" s="97">
        <f>ΕΡΓΟ!B11</f>
        <v>0</v>
      </c>
      <c r="D18" s="63">
        <f>T7</f>
        <v>36</v>
      </c>
      <c r="E18" s="65">
        <f t="shared" si="4"/>
        <v>40</v>
      </c>
      <c r="F18" s="49">
        <f t="shared" si="2"/>
        <v>4</v>
      </c>
      <c r="G18" s="61">
        <f t="shared" ca="1" si="1"/>
        <v>-44625</v>
      </c>
      <c r="H18" s="67"/>
      <c r="I18" s="96">
        <f t="shared" si="3"/>
        <v>0.1111111111111111</v>
      </c>
      <c r="J18" s="44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J18" s="32"/>
    </row>
    <row r="19" spans="1:36" ht="15" thickBot="1" x14ac:dyDescent="0.25">
      <c r="A19" s="39">
        <f>IF(D19&lt;&gt;"",ROWS($A$1:A12),"-")</f>
        <v>12</v>
      </c>
      <c r="B19" s="98">
        <f>ΕΡΓΟ!C12</f>
        <v>0</v>
      </c>
      <c r="C19" s="97">
        <f>ΕΡΓΟ!B12</f>
        <v>0</v>
      </c>
      <c r="D19" s="63">
        <f>U7</f>
        <v>40</v>
      </c>
      <c r="E19" s="65">
        <f t="shared" si="4"/>
        <v>44</v>
      </c>
      <c r="F19" s="49">
        <f t="shared" si="2"/>
        <v>4</v>
      </c>
      <c r="G19" s="61">
        <f t="shared" ca="1" si="1"/>
        <v>-44621</v>
      </c>
      <c r="H19" s="67"/>
      <c r="I19" s="96">
        <f t="shared" si="3"/>
        <v>0.1</v>
      </c>
      <c r="J19" s="44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</row>
    <row r="20" spans="1:36" ht="15" thickBot="1" x14ac:dyDescent="0.25">
      <c r="A20" s="39">
        <f>IF(D20&lt;&gt;"",ROWS($A$1:A13),"-")</f>
        <v>13</v>
      </c>
      <c r="B20" s="98">
        <f>ΕΡΓΟ!C13</f>
        <v>0</v>
      </c>
      <c r="C20" s="97">
        <f>ΕΡΓΟ!B13</f>
        <v>0</v>
      </c>
      <c r="D20" s="63">
        <f>V7</f>
        <v>44</v>
      </c>
      <c r="E20" s="65">
        <f t="shared" si="4"/>
        <v>48</v>
      </c>
      <c r="F20" s="49">
        <f t="shared" si="2"/>
        <v>4</v>
      </c>
      <c r="G20" s="61">
        <f t="shared" ca="1" si="1"/>
        <v>-44617</v>
      </c>
      <c r="H20" s="67"/>
      <c r="I20" s="96">
        <f t="shared" si="3"/>
        <v>9.0909090909090912E-2</v>
      </c>
      <c r="J20" s="44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</row>
    <row r="21" spans="1:36" ht="15" thickBot="1" x14ac:dyDescent="0.25">
      <c r="A21" s="39">
        <f>IF(D21&lt;&gt;"",ROWS($A$1:A14),"-")</f>
        <v>14</v>
      </c>
      <c r="B21" s="98">
        <f>ΕΡΓΟ!C14</f>
        <v>0</v>
      </c>
      <c r="C21" s="97">
        <f>ΕΡΓΟ!B14</f>
        <v>0</v>
      </c>
      <c r="D21" s="63">
        <f>W7</f>
        <v>48</v>
      </c>
      <c r="E21" s="65">
        <f t="shared" si="4"/>
        <v>52</v>
      </c>
      <c r="F21" s="49">
        <f t="shared" si="2"/>
        <v>4</v>
      </c>
      <c r="G21" s="61">
        <f t="shared" ca="1" si="1"/>
        <v>-44613</v>
      </c>
      <c r="H21" s="67"/>
      <c r="I21" s="96">
        <f t="shared" si="3"/>
        <v>8.3333333333333329E-2</v>
      </c>
      <c r="J21" s="44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</row>
    <row r="22" spans="1:36" ht="15" thickBot="1" x14ac:dyDescent="0.25">
      <c r="A22" s="39">
        <f>IF(D22&lt;&gt;"",ROWS($A$1:A15),"-")</f>
        <v>15</v>
      </c>
      <c r="B22" s="98">
        <f>ΕΡΓΟ!C15</f>
        <v>0</v>
      </c>
      <c r="C22" s="97">
        <f>ΕΡΓΟ!B15</f>
        <v>0</v>
      </c>
      <c r="D22" s="63">
        <f>X7</f>
        <v>52</v>
      </c>
      <c r="E22" s="65">
        <f t="shared" si="4"/>
        <v>56</v>
      </c>
      <c r="F22" s="49">
        <f t="shared" si="2"/>
        <v>4</v>
      </c>
      <c r="G22" s="61">
        <f t="shared" ca="1" si="1"/>
        <v>-44609</v>
      </c>
      <c r="H22" s="67"/>
      <c r="I22" s="96">
        <f t="shared" si="3"/>
        <v>7.6923076923076927E-2</v>
      </c>
      <c r="J22" s="44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</row>
    <row r="23" spans="1:36" ht="15" thickBot="1" x14ac:dyDescent="0.25">
      <c r="A23" s="39">
        <f>IF(D23&lt;&gt;"",ROWS($A$1:A16),"-")</f>
        <v>16</v>
      </c>
      <c r="B23" s="98">
        <f>ΕΡΓΟ!C16</f>
        <v>0</v>
      </c>
      <c r="C23" s="97">
        <f>ΕΡΓΟ!B16</f>
        <v>0</v>
      </c>
      <c r="D23" s="63">
        <f>Y7</f>
        <v>56</v>
      </c>
      <c r="E23" s="65">
        <f t="shared" si="4"/>
        <v>60</v>
      </c>
      <c r="F23" s="49">
        <f t="shared" si="2"/>
        <v>4</v>
      </c>
      <c r="G23" s="61">
        <f t="shared" ca="1" si="1"/>
        <v>-44605</v>
      </c>
      <c r="H23" s="67"/>
      <c r="I23" s="96">
        <f t="shared" si="3"/>
        <v>7.1428571428571425E-2</v>
      </c>
      <c r="J23" s="44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</row>
    <row r="24" spans="1:36" ht="15" thickBot="1" x14ac:dyDescent="0.25">
      <c r="A24" s="39">
        <f>IF(D24&lt;&gt;"",ROWS($A$1:A17),"-")</f>
        <v>17</v>
      </c>
      <c r="B24" s="98">
        <f>ΕΡΓΟ!C17</f>
        <v>0</v>
      </c>
      <c r="C24" s="97">
        <f>ΕΡΓΟ!B17</f>
        <v>0</v>
      </c>
      <c r="D24" s="63">
        <f>Z7</f>
        <v>60</v>
      </c>
      <c r="E24" s="65">
        <f t="shared" si="4"/>
        <v>64</v>
      </c>
      <c r="F24" s="49">
        <f t="shared" si="2"/>
        <v>4</v>
      </c>
      <c r="G24" s="61">
        <f t="shared" ca="1" si="1"/>
        <v>-44601</v>
      </c>
      <c r="H24" s="67"/>
      <c r="I24" s="96">
        <f t="shared" si="3"/>
        <v>6.6666666666666666E-2</v>
      </c>
      <c r="J24" s="44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</row>
    <row r="25" spans="1:36" ht="15" thickBot="1" x14ac:dyDescent="0.25">
      <c r="A25" s="39">
        <f>IF(D25&lt;&gt;"",ROWS($A$1:A18),"-")</f>
        <v>18</v>
      </c>
      <c r="B25" s="98">
        <f>ΕΡΓΟ!C18</f>
        <v>0</v>
      </c>
      <c r="C25" s="97">
        <f>ΕΡΓΟ!B18</f>
        <v>0</v>
      </c>
      <c r="D25" s="63">
        <f>AA7</f>
        <v>64</v>
      </c>
      <c r="E25" s="65">
        <f t="shared" si="4"/>
        <v>68</v>
      </c>
      <c r="F25" s="49">
        <f t="shared" si="2"/>
        <v>4</v>
      </c>
      <c r="G25" s="61">
        <f t="shared" ca="1" si="1"/>
        <v>-44597</v>
      </c>
      <c r="H25" s="67"/>
      <c r="I25" s="96">
        <f t="shared" si="3"/>
        <v>6.25E-2</v>
      </c>
      <c r="J25" s="44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</row>
    <row r="26" spans="1:36" ht="15" thickBot="1" x14ac:dyDescent="0.25">
      <c r="A26" s="39">
        <f>IF(D26&lt;&gt;"",ROWS($A$1:A19),"-")</f>
        <v>19</v>
      </c>
      <c r="B26" s="98">
        <f>ΕΡΓΟ!C19</f>
        <v>0</v>
      </c>
      <c r="C26" s="97">
        <f>ΕΡΓΟ!B19</f>
        <v>0</v>
      </c>
      <c r="D26" s="63">
        <f>AB7</f>
        <v>68</v>
      </c>
      <c r="E26" s="65">
        <f t="shared" si="4"/>
        <v>72</v>
      </c>
      <c r="F26" s="49">
        <f t="shared" si="2"/>
        <v>4</v>
      </c>
      <c r="G26" s="61">
        <f t="shared" ca="1" si="1"/>
        <v>-44593</v>
      </c>
      <c r="H26" s="67"/>
      <c r="I26" s="96">
        <f t="shared" si="3"/>
        <v>5.8823529411764705E-2</v>
      </c>
      <c r="J26" s="44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J26" s="32"/>
    </row>
    <row r="27" spans="1:36" ht="15" thickBot="1" x14ac:dyDescent="0.25">
      <c r="A27" s="39">
        <f>IF(D27&lt;&gt;"",ROWS($A$1:A20),"-")</f>
        <v>20</v>
      </c>
      <c r="B27" s="98">
        <f>ΕΡΓΟ!C20</f>
        <v>0</v>
      </c>
      <c r="C27" s="97">
        <f>ΕΡΓΟ!B20</f>
        <v>0</v>
      </c>
      <c r="D27" s="63">
        <f>AC7</f>
        <v>72</v>
      </c>
      <c r="E27" s="65">
        <f t="shared" si="4"/>
        <v>76</v>
      </c>
      <c r="F27" s="49">
        <f t="shared" si="2"/>
        <v>4</v>
      </c>
      <c r="G27" s="61">
        <f t="shared" ca="1" si="1"/>
        <v>-44589</v>
      </c>
      <c r="H27" s="67"/>
      <c r="I27" s="96">
        <f t="shared" si="3"/>
        <v>5.5555555555555552E-2</v>
      </c>
      <c r="J27" s="44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</row>
    <row r="28" spans="1:36" ht="15" thickBot="1" x14ac:dyDescent="0.25">
      <c r="A28" s="39">
        <f>IF(D28&lt;&gt;"",ROWS($A$1:A21),"-")</f>
        <v>21</v>
      </c>
      <c r="B28" s="98">
        <f>ΕΡΓΟ!C21</f>
        <v>0</v>
      </c>
      <c r="C28" s="97">
        <f>ΕΡΓΟ!B21</f>
        <v>0</v>
      </c>
      <c r="D28" s="63">
        <f>AD7</f>
        <v>76</v>
      </c>
      <c r="E28" s="65">
        <f t="shared" si="4"/>
        <v>80</v>
      </c>
      <c r="F28" s="49">
        <f t="shared" si="2"/>
        <v>4</v>
      </c>
      <c r="G28" s="61">
        <f t="shared" ca="1" si="1"/>
        <v>-44585</v>
      </c>
      <c r="H28" s="67"/>
      <c r="I28" s="96">
        <f t="shared" si="3"/>
        <v>5.2631578947368418E-2</v>
      </c>
      <c r="J28" s="44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</row>
    <row r="29" spans="1:36" ht="15" thickBot="1" x14ac:dyDescent="0.25">
      <c r="A29" s="39">
        <f>IF(D29&lt;&gt;"",ROWS($A$1:A22),"-")</f>
        <v>22</v>
      </c>
      <c r="B29" s="98">
        <f>ΕΡΓΟ!C22</f>
        <v>0</v>
      </c>
      <c r="C29" s="97">
        <f>ΕΡΓΟ!B22</f>
        <v>0</v>
      </c>
      <c r="D29" s="63">
        <f>AE7</f>
        <v>80</v>
      </c>
      <c r="E29" s="65">
        <f t="shared" si="4"/>
        <v>84</v>
      </c>
      <c r="F29" s="49">
        <f t="shared" si="2"/>
        <v>4</v>
      </c>
      <c r="G29" s="61">
        <f t="shared" ca="1" si="1"/>
        <v>-44581</v>
      </c>
      <c r="H29" s="67"/>
      <c r="I29" s="96">
        <f t="shared" si="3"/>
        <v>0.05</v>
      </c>
      <c r="J29" s="44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</row>
    <row r="30" spans="1:36" ht="15" thickBot="1" x14ac:dyDescent="0.25">
      <c r="A30" s="39">
        <f>IF(D30&lt;&gt;"",ROWS($A$1:A23),"-")</f>
        <v>23</v>
      </c>
      <c r="B30" s="98">
        <f>ΕΡΓΟ!C23</f>
        <v>0</v>
      </c>
      <c r="C30" s="97">
        <f>ΕΡΓΟ!B23</f>
        <v>0</v>
      </c>
      <c r="D30" s="63">
        <f>AF7</f>
        <v>84</v>
      </c>
      <c r="E30" s="65">
        <f t="shared" si="4"/>
        <v>0</v>
      </c>
      <c r="F30" s="49">
        <f t="shared" si="2"/>
        <v>-84</v>
      </c>
      <c r="G30" s="61">
        <f t="shared" ca="1" si="1"/>
        <v>-44665</v>
      </c>
      <c r="H30" s="67"/>
      <c r="I30" s="96">
        <f t="shared" si="3"/>
        <v>-1</v>
      </c>
      <c r="J30" s="44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</row>
    <row r="31" spans="1:36" ht="15" thickBot="1" x14ac:dyDescent="0.25">
      <c r="A31" s="93">
        <f>IF(D31&lt;&gt;"",ROWS($A$1:A24),"-")</f>
        <v>24</v>
      </c>
      <c r="B31" s="98">
        <f>ΕΡΓΟ!C24</f>
        <v>0</v>
      </c>
      <c r="C31" s="97">
        <f>ΕΡΓΟ!B24</f>
        <v>0</v>
      </c>
      <c r="D31" s="70">
        <f>AG7</f>
        <v>0</v>
      </c>
      <c r="E31" s="71">
        <f>C4</f>
        <v>0</v>
      </c>
      <c r="F31" s="49">
        <f t="shared" si="2"/>
        <v>0</v>
      </c>
      <c r="G31" s="61">
        <f t="shared" ca="1" si="1"/>
        <v>-44665</v>
      </c>
      <c r="H31" s="43"/>
      <c r="I31" s="96" t="e">
        <f t="shared" si="3"/>
        <v>#DIV/0!</v>
      </c>
      <c r="J31" s="44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</row>
    <row r="32" spans="1:36" x14ac:dyDescent="0.2">
      <c r="A32" s="69"/>
      <c r="D32" s="32"/>
    </row>
    <row r="33" spans="1:7" x14ac:dyDescent="0.2">
      <c r="A33" s="69"/>
      <c r="F33" s="42"/>
      <c r="G33" s="42"/>
    </row>
  </sheetData>
  <sheetProtection selectLockedCells="1"/>
  <mergeCells count="11">
    <mergeCell ref="C2:E2"/>
    <mergeCell ref="H6:H7"/>
    <mergeCell ref="K6:N6"/>
    <mergeCell ref="K5:AG5"/>
    <mergeCell ref="O6:R6"/>
    <mergeCell ref="S6:V6"/>
    <mergeCell ref="W6:Z6"/>
    <mergeCell ref="AA6:AD6"/>
    <mergeCell ref="AE6:AG6"/>
    <mergeCell ref="F1:F2"/>
    <mergeCell ref="G1:G2"/>
  </mergeCells>
  <phoneticPr fontId="10" type="noConversion"/>
  <dataValidations count="2">
    <dataValidation type="list" allowBlank="1" showInputMessage="1" showErrorMessage="1" sqref="C5" xr:uid="{7CD3803C-F0FC-4089-94B4-1B0A8C8C5BDE}">
      <formula1>$A$9:$A$31</formula1>
    </dataValidation>
    <dataValidation allowBlank="1" showInputMessage="1" sqref="D6:D7" xr:uid="{E8CC1EBB-6799-4690-A326-9727BE4D9ACD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Φύλλο2"/>
  <dimension ref="A1:U51"/>
  <sheetViews>
    <sheetView showGridLines="0" tabSelected="1" zoomScaleNormal="100" workbookViewId="0">
      <selection sqref="A1:E50"/>
    </sheetView>
  </sheetViews>
  <sheetFormatPr defaultColWidth="9" defaultRowHeight="14.25" x14ac:dyDescent="0.2"/>
  <cols>
    <col min="1" max="1" width="16.375" customWidth="1"/>
    <col min="2" max="2" width="11.125" customWidth="1"/>
    <col min="3" max="3" width="16.875" customWidth="1"/>
    <col min="4" max="4" width="9" customWidth="1"/>
    <col min="5" max="5" width="14.875" customWidth="1"/>
    <col min="6" max="6" width="24.25" customWidth="1"/>
    <col min="7" max="7" width="21.125" customWidth="1"/>
    <col min="8" max="8" width="8.625" customWidth="1"/>
    <col min="9" max="16384" width="9" style="72"/>
  </cols>
  <sheetData>
    <row r="1" spans="1:20" ht="15" x14ac:dyDescent="0.25">
      <c r="A1" s="77" t="s">
        <v>2</v>
      </c>
      <c r="B1" s="77" t="s">
        <v>3</v>
      </c>
      <c r="C1" s="73" t="s">
        <v>0</v>
      </c>
      <c r="E1" s="77"/>
      <c r="F1" s="77" t="s">
        <v>4</v>
      </c>
      <c r="G1" s="77" t="s">
        <v>5</v>
      </c>
    </row>
    <row r="2" spans="1:20" x14ac:dyDescent="0.2">
      <c r="F2" s="79"/>
      <c r="G2" s="32"/>
    </row>
    <row r="3" spans="1:20" x14ac:dyDescent="0.2">
      <c r="F3" s="32"/>
      <c r="G3" s="32"/>
    </row>
    <row r="4" spans="1:20" x14ac:dyDescent="0.2">
      <c r="F4" s="32"/>
      <c r="G4" s="32"/>
    </row>
    <row r="5" spans="1:20" x14ac:dyDescent="0.2">
      <c r="F5" s="32"/>
      <c r="G5" s="32"/>
      <c r="K5" s="74">
        <v>44662</v>
      </c>
      <c r="Q5" s="74">
        <v>44663</v>
      </c>
    </row>
    <row r="6" spans="1:20" x14ac:dyDescent="0.2">
      <c r="F6" s="32"/>
      <c r="G6" s="32"/>
    </row>
    <row r="7" spans="1:20" x14ac:dyDescent="0.2">
      <c r="F7" s="32"/>
      <c r="G7" s="32"/>
    </row>
    <row r="8" spans="1:20" x14ac:dyDescent="0.2">
      <c r="Q8" s="74"/>
    </row>
    <row r="10" spans="1:20" x14ac:dyDescent="0.2">
      <c r="M10" s="74">
        <v>44651</v>
      </c>
      <c r="Q10" s="74"/>
    </row>
    <row r="11" spans="1:20" x14ac:dyDescent="0.2">
      <c r="O11" s="74"/>
    </row>
    <row r="12" spans="1:20" x14ac:dyDescent="0.2">
      <c r="O12" s="76"/>
    </row>
    <row r="15" spans="1:20" x14ac:dyDescent="0.2">
      <c r="O15"/>
      <c r="P15" s="32"/>
      <c r="Q15"/>
      <c r="R15"/>
      <c r="S15"/>
      <c r="T15"/>
    </row>
    <row r="16" spans="1:20" x14ac:dyDescent="0.2">
      <c r="O16"/>
      <c r="P16"/>
      <c r="Q16"/>
      <c r="R16"/>
      <c r="S16"/>
      <c r="T16"/>
    </row>
    <row r="17" spans="9:20" x14ac:dyDescent="0.2">
      <c r="O17"/>
      <c r="P17" s="36"/>
      <c r="Q17"/>
      <c r="R17"/>
      <c r="S17"/>
      <c r="T17"/>
    </row>
    <row r="18" spans="9:20" x14ac:dyDescent="0.2">
      <c r="I18" s="75">
        <v>0.59652777777777777</v>
      </c>
      <c r="O18"/>
      <c r="P18"/>
      <c r="Q18"/>
      <c r="R18"/>
      <c r="S18"/>
      <c r="T18"/>
    </row>
    <row r="19" spans="9:20" x14ac:dyDescent="0.2">
      <c r="O19"/>
      <c r="P19"/>
      <c r="Q19"/>
      <c r="R19"/>
      <c r="S19"/>
      <c r="T19"/>
    </row>
    <row r="20" spans="9:20" x14ac:dyDescent="0.2">
      <c r="O20"/>
      <c r="P20"/>
      <c r="Q20"/>
      <c r="R20"/>
      <c r="S20"/>
      <c r="T20"/>
    </row>
    <row r="21" spans="9:20" x14ac:dyDescent="0.2">
      <c r="O21" s="32"/>
      <c r="P21"/>
      <c r="Q21" s="32"/>
      <c r="R21"/>
      <c r="S21"/>
      <c r="T21"/>
    </row>
    <row r="22" spans="9:20" x14ac:dyDescent="0.2">
      <c r="O22"/>
      <c r="P22"/>
      <c r="Q22"/>
      <c r="R22"/>
      <c r="S22"/>
      <c r="T22"/>
    </row>
    <row r="23" spans="9:20" x14ac:dyDescent="0.2">
      <c r="O23"/>
      <c r="P23"/>
      <c r="Q23" s="32"/>
      <c r="R23" s="32"/>
      <c r="S23"/>
      <c r="T23"/>
    </row>
    <row r="24" spans="9:20" x14ac:dyDescent="0.2">
      <c r="O24"/>
      <c r="P24"/>
      <c r="Q24"/>
      <c r="R24"/>
      <c r="S24"/>
      <c r="T24"/>
    </row>
    <row r="25" spans="9:20" x14ac:dyDescent="0.2">
      <c r="O25"/>
      <c r="P25"/>
      <c r="Q25"/>
      <c r="R25"/>
      <c r="S25"/>
      <c r="T25"/>
    </row>
    <row r="27" spans="9:20" x14ac:dyDescent="0.2">
      <c r="P27" s="74">
        <v>44636</v>
      </c>
    </row>
    <row r="30" spans="9:20" x14ac:dyDescent="0.2">
      <c r="P30" s="74">
        <v>44647</v>
      </c>
    </row>
    <row r="31" spans="9:20" x14ac:dyDescent="0.2">
      <c r="N31" s="74">
        <v>44672</v>
      </c>
    </row>
    <row r="32" spans="9:20" x14ac:dyDescent="0.2">
      <c r="L32" s="74">
        <v>44663</v>
      </c>
    </row>
    <row r="34" spans="21:21" x14ac:dyDescent="0.2">
      <c r="U34" s="74">
        <v>44647</v>
      </c>
    </row>
    <row r="49" spans="1:8" x14ac:dyDescent="0.2">
      <c r="A49" s="78"/>
      <c r="B49" s="78"/>
      <c r="C49" s="78"/>
      <c r="D49" s="78"/>
      <c r="E49" s="78"/>
      <c r="F49" s="78"/>
      <c r="G49" s="78"/>
      <c r="H49" s="78"/>
    </row>
    <row r="50" spans="1:8" x14ac:dyDescent="0.2">
      <c r="A50" s="78"/>
      <c r="B50" s="78"/>
      <c r="C50" s="78"/>
      <c r="D50" s="78"/>
      <c r="E50" s="78"/>
      <c r="F50" s="78"/>
      <c r="G50" s="78"/>
      <c r="H50" s="78"/>
    </row>
    <row r="51" spans="1:8" x14ac:dyDescent="0.2">
      <c r="A51" s="78"/>
      <c r="B51" s="78"/>
      <c r="C51" s="78"/>
      <c r="D51" s="78"/>
      <c r="E51" s="78"/>
      <c r="F51" s="78"/>
      <c r="G51" s="78"/>
      <c r="H51" s="78"/>
    </row>
  </sheetData>
  <sheetProtection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Φύλλο3"/>
  <dimension ref="A1:N18"/>
  <sheetViews>
    <sheetView showGridLines="0" zoomScale="120" zoomScaleNormal="120" zoomScaleSheetLayoutView="70" workbookViewId="0">
      <selection activeCell="G18" sqref="G18"/>
    </sheetView>
  </sheetViews>
  <sheetFormatPr defaultRowHeight="14.25" x14ac:dyDescent="0.2"/>
  <cols>
    <col min="1" max="1" width="7.5" customWidth="1"/>
    <col min="2" max="2" width="19.5" style="2" bestFit="1" customWidth="1"/>
    <col min="3" max="3" width="17.25" style="2" bestFit="1" customWidth="1"/>
    <col min="4" max="4" width="41.625" bestFit="1" customWidth="1"/>
    <col min="5" max="5" width="13.875" customWidth="1"/>
    <col min="6" max="6" width="9.25" bestFit="1" customWidth="1"/>
  </cols>
  <sheetData>
    <row r="1" spans="1:14" ht="15.75" thickBot="1" x14ac:dyDescent="0.25">
      <c r="A1" s="14" t="s">
        <v>6</v>
      </c>
      <c r="B1" s="112" t="s">
        <v>7</v>
      </c>
      <c r="C1" s="113"/>
      <c r="D1" s="16"/>
    </row>
    <row r="2" spans="1:14" ht="15.75" thickBot="1" x14ac:dyDescent="0.25">
      <c r="A2" s="14"/>
      <c r="B2" s="15"/>
      <c r="C2" s="15"/>
      <c r="D2" s="15"/>
    </row>
    <row r="3" spans="1:14" ht="15.75" thickBot="1" x14ac:dyDescent="0.3">
      <c r="B3" s="9" t="s">
        <v>8</v>
      </c>
      <c r="C3" s="10" t="s">
        <v>9</v>
      </c>
      <c r="D3" s="8" t="s">
        <v>10</v>
      </c>
    </row>
    <row r="4" spans="1:14" x14ac:dyDescent="0.2">
      <c r="B4" s="5">
        <v>44639</v>
      </c>
      <c r="C4" s="6">
        <v>44646</v>
      </c>
      <c r="D4" s="7" t="s">
        <v>11</v>
      </c>
      <c r="F4" s="35"/>
    </row>
    <row r="5" spans="1:14" x14ac:dyDescent="0.2">
      <c r="B5" s="3">
        <v>44646</v>
      </c>
      <c r="C5" s="4">
        <v>44653</v>
      </c>
      <c r="D5" s="1" t="s">
        <v>12</v>
      </c>
    </row>
    <row r="6" spans="1:14" x14ac:dyDescent="0.2">
      <c r="B6" s="3">
        <v>44653</v>
      </c>
      <c r="C6" s="4">
        <v>44660</v>
      </c>
      <c r="D6" s="1" t="s">
        <v>13</v>
      </c>
      <c r="G6" s="33"/>
    </row>
    <row r="7" spans="1:14" ht="28.5" x14ac:dyDescent="0.2">
      <c r="B7" s="3">
        <v>44660</v>
      </c>
      <c r="C7" s="4">
        <v>44667</v>
      </c>
      <c r="D7" s="1" t="s">
        <v>14</v>
      </c>
      <c r="G7" s="34"/>
    </row>
    <row r="8" spans="1:14" x14ac:dyDescent="0.2">
      <c r="B8" s="3">
        <v>44667</v>
      </c>
      <c r="C8" s="4">
        <v>44674</v>
      </c>
      <c r="D8" s="1" t="s">
        <v>15</v>
      </c>
    </row>
    <row r="9" spans="1:14" x14ac:dyDescent="0.2">
      <c r="B9" s="3">
        <v>44674</v>
      </c>
      <c r="C9" s="4">
        <v>44681</v>
      </c>
      <c r="D9" s="1" t="s">
        <v>16</v>
      </c>
    </row>
    <row r="10" spans="1:14" x14ac:dyDescent="0.2">
      <c r="B10" s="3">
        <v>44681</v>
      </c>
      <c r="C10" s="4">
        <v>44688</v>
      </c>
      <c r="D10" s="1" t="s">
        <v>17</v>
      </c>
    </row>
    <row r="11" spans="1:14" ht="28.5" x14ac:dyDescent="0.2">
      <c r="B11" s="3">
        <v>44688</v>
      </c>
      <c r="C11" s="4">
        <v>44695</v>
      </c>
      <c r="D11" s="1" t="s">
        <v>18</v>
      </c>
    </row>
    <row r="12" spans="1:14" ht="42.75" x14ac:dyDescent="0.2">
      <c r="B12" s="3">
        <v>44695</v>
      </c>
      <c r="C12" s="4">
        <v>44702</v>
      </c>
      <c r="D12" s="1" t="s">
        <v>19</v>
      </c>
      <c r="K12" s="32"/>
    </row>
    <row r="13" spans="1:14" ht="28.5" x14ac:dyDescent="0.2">
      <c r="B13" s="3">
        <v>44702</v>
      </c>
      <c r="C13" s="4">
        <v>44709</v>
      </c>
      <c r="D13" s="1" t="s">
        <v>20</v>
      </c>
      <c r="F13" s="32"/>
      <c r="H13" s="32"/>
      <c r="I13" s="32"/>
      <c r="J13" s="32"/>
      <c r="N13" s="32"/>
    </row>
    <row r="14" spans="1:14" x14ac:dyDescent="0.2">
      <c r="B14" s="3">
        <v>44709</v>
      </c>
      <c r="C14" s="4">
        <v>44710</v>
      </c>
      <c r="D14" s="17" t="s">
        <v>21</v>
      </c>
      <c r="H14" s="32"/>
    </row>
    <row r="15" spans="1:14" ht="28.5" x14ac:dyDescent="0.2">
      <c r="B15" s="3">
        <v>44710</v>
      </c>
      <c r="C15" s="4">
        <v>44712</v>
      </c>
      <c r="D15" s="1" t="s">
        <v>22</v>
      </c>
      <c r="H15" s="36"/>
      <c r="I15" s="32"/>
    </row>
    <row r="16" spans="1:14" x14ac:dyDescent="0.2">
      <c r="H16" s="32"/>
      <c r="K16" s="32"/>
    </row>
    <row r="18" spans="6:6" x14ac:dyDescent="0.2">
      <c r="F18" s="32"/>
    </row>
  </sheetData>
  <mergeCells count="1">
    <mergeCell ref="B1:C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Φύλλο4"/>
  <dimension ref="B1:F19"/>
  <sheetViews>
    <sheetView showGridLines="0" workbookViewId="0">
      <selection activeCell="A17" sqref="A17"/>
    </sheetView>
  </sheetViews>
  <sheetFormatPr defaultRowHeight="14.25" x14ac:dyDescent="0.2"/>
  <cols>
    <col min="2" max="2" width="49.75" style="2" customWidth="1"/>
    <col min="3" max="3" width="28" style="2" customWidth="1"/>
    <col min="4" max="4" width="23.375" style="2" customWidth="1"/>
    <col min="5" max="5" width="17.75" style="11" customWidth="1"/>
    <col min="6" max="6" width="21.125" style="11" customWidth="1"/>
  </cols>
  <sheetData>
    <row r="1" spans="2:6" ht="15" thickBot="1" x14ac:dyDescent="0.25"/>
    <row r="2" spans="2:6" ht="30.75" thickBot="1" x14ac:dyDescent="0.25">
      <c r="B2" s="9" t="str">
        <f>'GANTT TABLE'!D3</f>
        <v>ΟΝΟΜΑ ΕΠΙΜΕΡΟΥΣ ΕΡΓΑΣΙΑΣ</v>
      </c>
      <c r="C2" s="19" t="str">
        <f>'GANTT TABLE'!B3</f>
        <v>ΕΡΝΑΡΞΗ ΕΡΓΑΣΙΩΝ</v>
      </c>
      <c r="D2" s="20" t="str">
        <f>'GANTT TABLE'!C3</f>
        <v>ΛΗΞΗ ΕΡΓΑΣΙΩΝ</v>
      </c>
      <c r="E2" s="21" t="s">
        <v>23</v>
      </c>
      <c r="F2" s="12" t="s">
        <v>24</v>
      </c>
    </row>
    <row r="3" spans="2:6" x14ac:dyDescent="0.2">
      <c r="B3" s="18" t="str">
        <f>'GANTT TABLE'!D4</f>
        <v>μελέτη σημειώσεων σεμιναρίου</v>
      </c>
      <c r="C3" s="6">
        <f>'GANTT TABLE'!B4</f>
        <v>44639</v>
      </c>
      <c r="D3" s="28">
        <f>'GANTT TABLE'!C4</f>
        <v>44646</v>
      </c>
      <c r="E3" s="27">
        <f>('GANTT TABLE'!B4)-INT('GANTT TABLE'!$B$4)</f>
        <v>0</v>
      </c>
      <c r="F3" s="13">
        <f>(INT('GANTT TABLE'!C4)-INT('GANTT TABLE'!$B$4)) - ( INT('GANTT TABLE'!B4)-INT('GANTT TABLE'!$B$4))</f>
        <v>7</v>
      </c>
    </row>
    <row r="4" spans="2:6" x14ac:dyDescent="0.2">
      <c r="B4" s="18" t="str">
        <f>'GANTT TABLE'!D5</f>
        <v>αναζήτηση βιβλιογραφίας</v>
      </c>
      <c r="C4" s="4">
        <f>'GANTT TABLE'!B5</f>
        <v>44646</v>
      </c>
      <c r="D4" s="29">
        <f>'GANTT TABLE'!C5</f>
        <v>44653</v>
      </c>
      <c r="E4" s="22">
        <f>('GANTT TABLE'!B5)-INT('GANTT TABLE'!$B$4)</f>
        <v>7</v>
      </c>
      <c r="F4" s="23">
        <f>(INT('GANTT TABLE'!C5)-INT('GANTT TABLE'!$B$4)) - ( INT('GANTT TABLE'!B5)-INT('GANTT TABLE'!$B$4))</f>
        <v>7</v>
      </c>
    </row>
    <row r="5" spans="2:6" x14ac:dyDescent="0.2">
      <c r="B5" s="18" t="str">
        <f>'GANTT TABLE'!D6</f>
        <v xml:space="preserve">Εισαγωγή + ΒΑΣΙΚΕΣ ΕΝΝΟΙΕΣ </v>
      </c>
      <c r="C5" s="4">
        <f>'GANTT TABLE'!B6</f>
        <v>44653</v>
      </c>
      <c r="D5" s="29">
        <f>'GANTT TABLE'!C6</f>
        <v>44660</v>
      </c>
      <c r="E5" s="22">
        <f>('GANTT TABLE'!B6)-INT('GANTT TABLE'!$B$4)</f>
        <v>14</v>
      </c>
      <c r="F5" s="23">
        <f>(INT('GANTT TABLE'!C6)-INT('GANTT TABLE'!$B$4)) - ( INT('GANTT TABLE'!B6)-INT('GANTT TABLE'!$B$4))</f>
        <v>7</v>
      </c>
    </row>
    <row r="6" spans="2:6" x14ac:dyDescent="0.2">
      <c r="B6" s="18" t="str">
        <f>'GANTT TABLE'!D7</f>
        <v>ΘΕΩΡΗΤΙΚΟΙ ΣΤΟΧΟΙ + ΑΝΑΣΚΟΠΗΣΗ ΒΙΒΛΙΟΓΡΑΦΙΑΣ</v>
      </c>
      <c r="C6" s="4">
        <f>'GANTT TABLE'!B7</f>
        <v>44660</v>
      </c>
      <c r="D6" s="29">
        <f>'GANTT TABLE'!C7</f>
        <v>44667</v>
      </c>
      <c r="E6" s="22">
        <f>('GANTT TABLE'!B7)-INT('GANTT TABLE'!$B$4)</f>
        <v>21</v>
      </c>
      <c r="F6" s="23">
        <f>(INT('GANTT TABLE'!C7)-INT('GANTT TABLE'!$B$4)) - ( INT('GANTT TABLE'!B7)-INT('GANTT TABLE'!$B$4))</f>
        <v>7</v>
      </c>
    </row>
    <row r="7" spans="2:6" x14ac:dyDescent="0.2">
      <c r="B7" s="18" t="str">
        <f>'GANTT TABLE'!D8</f>
        <v>ΜΕΘΟΔΟΛΟΓΙΑ ΕΡΕΥΝΑΣ</v>
      </c>
      <c r="C7" s="4">
        <f>'GANTT TABLE'!B8</f>
        <v>44667</v>
      </c>
      <c r="D7" s="29">
        <f>'GANTT TABLE'!C8</f>
        <v>44674</v>
      </c>
      <c r="E7" s="22">
        <f>('GANTT TABLE'!B8)-INT('GANTT TABLE'!$B$4)</f>
        <v>28</v>
      </c>
      <c r="F7" s="23">
        <f>(INT('GANTT TABLE'!C8)-INT('GANTT TABLE'!$B$4)) - ( INT('GANTT TABLE'!B8)-INT('GANTT TABLE'!$B$4))</f>
        <v>7</v>
      </c>
    </row>
    <row r="8" spans="2:6" x14ac:dyDescent="0.2">
      <c r="B8" s="18" t="str">
        <f>'GANTT TABLE'!D9</f>
        <v>ΕΡΕΥΝΗΤΙΚΑ ΕΡΩΤΗΜΑΤΑ</v>
      </c>
      <c r="C8" s="4">
        <f>'GANTT TABLE'!B9</f>
        <v>44674</v>
      </c>
      <c r="D8" s="29">
        <f>'GANTT TABLE'!C9</f>
        <v>44681</v>
      </c>
      <c r="E8" s="22">
        <f>('GANTT TABLE'!B9)-INT('GANTT TABLE'!$B$4)</f>
        <v>35</v>
      </c>
      <c r="F8" s="23">
        <f>(INT('GANTT TABLE'!C9)-INT('GANTT TABLE'!$B$4)) - ( INT('GANTT TABLE'!B9)-INT('GANTT TABLE'!$B$4))</f>
        <v>7</v>
      </c>
    </row>
    <row r="9" spans="2:6" x14ac:dyDescent="0.2">
      <c r="B9" s="18" t="str">
        <f>'GANTT TABLE'!D10</f>
        <v>ΕΡΕΥΝΗΤΙΚΕΣ ΥΠΟΘΕΣΕΙΣ/ΠΡΟΤΑΣΕΙΣ</v>
      </c>
      <c r="C9" s="4">
        <f>'GANTT TABLE'!B10</f>
        <v>44681</v>
      </c>
      <c r="D9" s="29">
        <f>'GANTT TABLE'!C10</f>
        <v>44688</v>
      </c>
      <c r="E9" s="22">
        <f>('GANTT TABLE'!B10)-INT('GANTT TABLE'!$B$4)</f>
        <v>42</v>
      </c>
      <c r="F9" s="23">
        <f>(INT('GANTT TABLE'!C10)-INT('GANTT TABLE'!$B$4)) - ( INT('GANTT TABLE'!B10)-INT('GANTT TABLE'!$B$4))</f>
        <v>7</v>
      </c>
    </row>
    <row r="10" spans="2:6" ht="28.5" x14ac:dyDescent="0.2">
      <c r="B10" s="18" t="str">
        <f>'GANTT TABLE'!D11</f>
        <v xml:space="preserve">ΣΥΛΛΟΓΗ ΔΕΔΟΜΕΝΩΝ ΜΕΣΩ ΔΕΥΤΕΡΟΓΕΝΩΝ ΠΗΓΩΝ </v>
      </c>
      <c r="C10" s="4">
        <f>'GANTT TABLE'!B11</f>
        <v>44688</v>
      </c>
      <c r="D10" s="29">
        <f>'GANTT TABLE'!C11</f>
        <v>44695</v>
      </c>
      <c r="E10" s="22">
        <f>('GANTT TABLE'!B11)-INT('GANTT TABLE'!$B$4)</f>
        <v>49</v>
      </c>
      <c r="F10" s="23">
        <f>(INT('GANTT TABLE'!C11)-INT('GANTT TABLE'!$B$4)) - ( INT('GANTT TABLE'!B11)-INT('GANTT TABLE'!$B$4))</f>
        <v>7</v>
      </c>
    </row>
    <row r="11" spans="2:6" ht="28.5" x14ac:dyDescent="0.2">
      <c r="B11" s="18" t="str">
        <f>'GANTT TABLE'!D12</f>
        <v>ΑΝΑΖΗΤΗΣΗ ΚΑΤΑΓΕΓΡΑΜΜΕΝΩΝ ΣΥΖΗΤΗΣΕΩΝ ΕΠΙ ΤΩΝ ΠΙΘΑΝΩΝ ΑΠΟΤΕΛΕΣΜΑΤΩΝ</v>
      </c>
      <c r="C11" s="4">
        <f>'GANTT TABLE'!B12</f>
        <v>44695</v>
      </c>
      <c r="D11" s="29">
        <f>'GANTT TABLE'!C12</f>
        <v>44702</v>
      </c>
      <c r="E11" s="22">
        <f>('GANTT TABLE'!B12)-INT('GANTT TABLE'!$B$4)</f>
        <v>56</v>
      </c>
      <c r="F11" s="23">
        <f>(INT('GANTT TABLE'!C12)-INT('GANTT TABLE'!$B$4)) - ( INT('GANTT TABLE'!B12)-INT('GANTT TABLE'!$B$4))</f>
        <v>7</v>
      </c>
    </row>
    <row r="12" spans="2:6" x14ac:dyDescent="0.2">
      <c r="B12" s="18" t="str">
        <f>'GANTT TABLE'!D13</f>
        <v>ΚΑΤΑΓΡΑΦΗ ΒΙΒΛΙΟΓΡΑΦΙΑΣ ΜΕ ΤΗ ΜΟΡΦΗ HARVARD</v>
      </c>
      <c r="C12" s="4">
        <f>'GANTT TABLE'!B13</f>
        <v>44702</v>
      </c>
      <c r="D12" s="29">
        <f>'GANTT TABLE'!C13</f>
        <v>44709</v>
      </c>
      <c r="E12" s="22">
        <f>('GANTT TABLE'!B13)-INT('GANTT TABLE'!$B$4)</f>
        <v>63</v>
      </c>
      <c r="F12" s="23">
        <f>(INT('GANTT TABLE'!C13)-INT('GANTT TABLE'!$B$4)) - ( INT('GANTT TABLE'!B13)-INT('GANTT TABLE'!$B$4))</f>
        <v>7</v>
      </c>
    </row>
    <row r="13" spans="2:6" x14ac:dyDescent="0.2">
      <c r="B13" s="18" t="str">
        <f>'GANTT TABLE'!D14</f>
        <v>ΠΕΡΙΛΗΨΗ</v>
      </c>
      <c r="C13" s="4">
        <f>'GANTT TABLE'!B14</f>
        <v>44709</v>
      </c>
      <c r="D13" s="29">
        <f>'GANTT TABLE'!C14</f>
        <v>44710</v>
      </c>
      <c r="E13" s="22">
        <f>('GANTT TABLE'!B14)-INT('GANTT TABLE'!$B$4)</f>
        <v>70</v>
      </c>
      <c r="F13" s="23">
        <f>(INT('GANTT TABLE'!C14)-INT('GANTT TABLE'!$B$4)) - ( INT('GANTT TABLE'!B14)-INT('GANTT TABLE'!$B$4))</f>
        <v>1</v>
      </c>
    </row>
    <row r="14" spans="2:6" ht="29.25" thickBot="1" x14ac:dyDescent="0.25">
      <c r="B14" s="24" t="str">
        <f>'GANTT TABLE'!D15</f>
        <v>ΤΕΛΙΚΗ ΑΝΑΣΚΟΠΗΣΗ ΤΟΥ PROJECT ΠΡΙΝ ΤΗΝ ΤΕΛΙΚΗ ΥΠΟΒΟΛΗ ΤΟΥ</v>
      </c>
      <c r="C14" s="30">
        <f>'GANTT TABLE'!B15</f>
        <v>44710</v>
      </c>
      <c r="D14" s="31">
        <f>'GANTT TABLE'!C15</f>
        <v>44712</v>
      </c>
      <c r="E14" s="25">
        <f>('GANTT TABLE'!B15)-INT('GANTT TABLE'!$B$4)</f>
        <v>71</v>
      </c>
      <c r="F14" s="26">
        <f>(INT('GANTT TABLE'!C15)-INT('GANTT TABLE'!$B$4)) - ( INT('GANTT TABLE'!B15)-INT('GANTT TABLE'!$B$4))</f>
        <v>2</v>
      </c>
    </row>
    <row r="19" spans="3:3" x14ac:dyDescent="0.2">
      <c r="C19" s="2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Φύλλο5"/>
  <dimension ref="A1:A5"/>
  <sheetViews>
    <sheetView workbookViewId="0">
      <selection activeCell="F33" sqref="F33"/>
    </sheetView>
  </sheetViews>
  <sheetFormatPr defaultRowHeight="14.25" x14ac:dyDescent="0.2"/>
  <cols>
    <col min="1" max="1" width="13.625" bestFit="1" customWidth="1"/>
  </cols>
  <sheetData>
    <row r="1" spans="1:1" x14ac:dyDescent="0.2">
      <c r="A1" s="37" t="s">
        <v>1</v>
      </c>
    </row>
    <row r="2" spans="1:1" x14ac:dyDescent="0.2">
      <c r="A2" s="38" t="s">
        <v>26</v>
      </c>
    </row>
    <row r="3" spans="1:1" x14ac:dyDescent="0.2">
      <c r="A3" s="38" t="s">
        <v>27</v>
      </c>
    </row>
    <row r="4" spans="1:1" x14ac:dyDescent="0.2">
      <c r="A4" s="38" t="s">
        <v>28</v>
      </c>
    </row>
    <row r="5" spans="1:1" x14ac:dyDescent="0.2">
      <c r="A5" s="38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5</vt:i4>
      </vt:variant>
      <vt:variant>
        <vt:lpstr>Γραφήματα</vt:lpstr>
      </vt:variant>
      <vt:variant>
        <vt:i4>2</vt:i4>
      </vt:variant>
    </vt:vector>
  </HeadingPairs>
  <TitlesOfParts>
    <vt:vector size="7" baseType="lpstr">
      <vt:lpstr>TABLE</vt:lpstr>
      <vt:lpstr>ΕΡΓΟ</vt:lpstr>
      <vt:lpstr>GANTT TABLE</vt:lpstr>
      <vt:lpstr>TOTAL DURATION</vt:lpstr>
      <vt:lpstr>ΑΝΑΠΤΥΣΣΟΜΕΝΕΣ ΛΙΣΤΕΣ</vt:lpstr>
      <vt:lpstr>Γράφημα1</vt:lpstr>
      <vt:lpstr>GANTT CHART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Ηλιόπουλος Ανδρέας</dc:creator>
  <cp:lastModifiedBy>Ανδρέας Ηλιόπουλος</cp:lastModifiedBy>
  <cp:revision/>
  <dcterms:created xsi:type="dcterms:W3CDTF">2022-04-04T07:02:04Z</dcterms:created>
  <dcterms:modified xsi:type="dcterms:W3CDTF">2022-04-14T04:43:30Z</dcterms:modified>
</cp:coreProperties>
</file>